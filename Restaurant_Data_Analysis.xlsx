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b74c31293e49d34e/Desktop/EXCEL/"/>
    </mc:Choice>
  </mc:AlternateContent>
  <xr:revisionPtr revIDLastSave="2" documentId="8_{6FF21A98-994C-4482-8C0D-B6C99B5A943E}" xr6:coauthVersionLast="47" xr6:coauthVersionMax="47" xr10:uidLastSave="{B296CACD-40CE-4DAD-B4CE-E70B959941B9}"/>
  <bookViews>
    <workbookView xWindow="-110" yWindow="-110" windowWidth="19420" windowHeight="11020" activeTab="1" xr2:uid="{00000000-000D-0000-FFFF-FFFF00000000}"/>
  </bookViews>
  <sheets>
    <sheet name="Pivot table" sheetId="3" r:id="rId1"/>
    <sheet name="Dashboard" sheetId="6" r:id="rId2"/>
    <sheet name="Data" sheetId="1" r:id="rId3"/>
  </sheets>
  <definedNames>
    <definedName name="_xlnm._FilterDatabase" localSheetId="2" hidden="1">Data!$A$1:$E$1</definedName>
    <definedName name="Slicer_Location">#N/A</definedName>
    <definedName name="Slicer_Restaurant">#N/A</definedName>
    <definedName name="Slicer_Veg_or_NonVeg">#N/A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1" l="1"/>
  <c r="H5" i="1"/>
  <c r="H3" i="1"/>
</calcChain>
</file>

<file path=xl/sharedStrings.xml><?xml version="1.0" encoding="utf-8"?>
<sst xmlns="http://schemas.openxmlformats.org/spreadsheetml/2006/main" count="561" uniqueCount="39">
  <si>
    <t>Restaurant</t>
  </si>
  <si>
    <t>Location</t>
  </si>
  <si>
    <t>Cuisine</t>
  </si>
  <si>
    <t>Rating</t>
  </si>
  <si>
    <t>Price</t>
  </si>
  <si>
    <t>Veg_or_NonVeg</t>
  </si>
  <si>
    <t>Copper Chimney</t>
  </si>
  <si>
    <t>Absolute Barbecues</t>
  </si>
  <si>
    <t>Murugan Idli Shop</t>
  </si>
  <si>
    <t>Adyar Ananda Bhavan</t>
  </si>
  <si>
    <t>Anjappar Chettinad</t>
  </si>
  <si>
    <t>Buhari Restaurant</t>
  </si>
  <si>
    <t>Saravana Bhavan</t>
  </si>
  <si>
    <t>Cream Centre</t>
  </si>
  <si>
    <t>Barbeque Nation</t>
  </si>
  <si>
    <t>Sangeetha Veg Restaurant</t>
  </si>
  <si>
    <t>Velachery</t>
  </si>
  <si>
    <t>OMR</t>
  </si>
  <si>
    <t>T. Nagar</t>
  </si>
  <si>
    <t>Adyar</t>
  </si>
  <si>
    <t>Anna Nagar</t>
  </si>
  <si>
    <t>Nungambakkam</t>
  </si>
  <si>
    <t>Chinese</t>
  </si>
  <si>
    <t>North Indian</t>
  </si>
  <si>
    <t>Arabian</t>
  </si>
  <si>
    <t>Continental</t>
  </si>
  <si>
    <t>South Indian</t>
  </si>
  <si>
    <t>Veg</t>
  </si>
  <si>
    <t>Non-Veg</t>
  </si>
  <si>
    <t>Total Price</t>
  </si>
  <si>
    <t>Avg Price</t>
  </si>
  <si>
    <t>Avg_Rating</t>
  </si>
  <si>
    <t>Row Labels</t>
  </si>
  <si>
    <t>Grand Total</t>
  </si>
  <si>
    <t>Sum of Price</t>
  </si>
  <si>
    <t>Average of Rating</t>
  </si>
  <si>
    <t>Sales by Location</t>
  </si>
  <si>
    <t>Sales by Restaurant</t>
  </si>
  <si>
    <t>Price vs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</si>
</sst>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b/>
      <sz val="11"/>
      <color theme="1"/>
      <name val="Calibri"/>
      <family val="2"/>
      <scheme val="minor"/>
    </font>
    <font>
      <b/>
      <sz val="12"/>
      <color rgb="FF1482AC"/>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horizontal="center" vertical="center"/>
    </xf>
    <xf numFmtId="0" fontId="0" fillId="0" borderId="0" xfId="0" applyNumberFormat="1"/>
  </cellXfs>
  <cellStyles count="1">
    <cellStyle name="Normal" xfId="0" builtinId="0"/>
  </cellStyles>
  <dxfs count="4">
    <dxf>
      <numFmt numFmtId="164" formatCode="&quot;₹&quot;\ #,##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[Restaurant_Data_Analysis.xlsx]Pivot table!PivotTable1</c:name>
    <c:fmtId val="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8.3751093613299351E-3"/>
              <c:y val="-6.90981335666383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Sum of Price</c:v>
                </c:pt>
              </c:strCache>
            </c:strRef>
          </c:tx>
          <c:spPr>
            <a:ln w="28575" cap="rnd">
              <a:solidFill>
                <a:schemeClr val="accent1"/>
              </a:solidFill>
              <a:round/>
            </a:ln>
            <a:effectLst/>
          </c:spPr>
          <c:marker>
            <c:symbol val="none"/>
          </c:marker>
          <c:dPt>
            <c:idx val="1"/>
            <c:marker>
              <c:symbol val="none"/>
            </c:marker>
            <c:bubble3D val="0"/>
            <c:extLst>
              <c:ext xmlns:c16="http://schemas.microsoft.com/office/drawing/2014/chart" uri="{C3380CC4-5D6E-409C-BE32-E72D297353CC}">
                <c16:uniqueId val="{00000003-EB99-4C50-8376-E29BE3BED36B}"/>
              </c:ext>
            </c:extLst>
          </c:dPt>
          <c:dLbls>
            <c:dLbl>
              <c:idx val="1"/>
              <c:layout>
                <c:manualLayout>
                  <c:x val="-8.3751093613299351E-3"/>
                  <c:y val="-6.909813356663835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99-4C50-8376-E29BE3BED3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Non-Veg</c:v>
                </c:pt>
                <c:pt idx="1">
                  <c:v>Veg</c:v>
                </c:pt>
              </c:strCache>
            </c:strRef>
          </c:cat>
          <c:val>
            <c:numRef>
              <c:f>'Pivot table'!$B$4:$B$6</c:f>
              <c:numCache>
                <c:formatCode>"₹"\ #,##0.00</c:formatCode>
                <c:ptCount val="2"/>
                <c:pt idx="0">
                  <c:v>6850</c:v>
                </c:pt>
                <c:pt idx="1">
                  <c:v>6500</c:v>
                </c:pt>
              </c:numCache>
            </c:numRef>
          </c:val>
          <c:smooth val="0"/>
          <c:extLst>
            <c:ext xmlns:c16="http://schemas.microsoft.com/office/drawing/2014/chart" uri="{C3380CC4-5D6E-409C-BE32-E72D297353CC}">
              <c16:uniqueId val="{00000000-EB99-4C50-8376-E29BE3BED36B}"/>
            </c:ext>
          </c:extLst>
        </c:ser>
        <c:ser>
          <c:idx val="1"/>
          <c:order val="1"/>
          <c:tx>
            <c:strRef>
              <c:f>'Pivot table'!$C$3</c:f>
              <c:strCache>
                <c:ptCount val="1"/>
                <c:pt idx="0">
                  <c:v>Average of Rating</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Non-Veg</c:v>
                </c:pt>
                <c:pt idx="1">
                  <c:v>Veg</c:v>
                </c:pt>
              </c:strCache>
            </c:strRef>
          </c:cat>
          <c:val>
            <c:numRef>
              <c:f>'Pivot table'!$C$4:$C$6</c:f>
              <c:numCache>
                <c:formatCode>General</c:formatCode>
                <c:ptCount val="2"/>
                <c:pt idx="0">
                  <c:v>3.8899999999999997</c:v>
                </c:pt>
                <c:pt idx="1">
                  <c:v>3.890909090909092</c:v>
                </c:pt>
              </c:numCache>
            </c:numRef>
          </c:val>
          <c:smooth val="0"/>
          <c:extLst>
            <c:ext xmlns:c16="http://schemas.microsoft.com/office/drawing/2014/chart" uri="{C3380CC4-5D6E-409C-BE32-E72D297353CC}">
              <c16:uniqueId val="{00000001-EB99-4C50-8376-E29BE3BED36B}"/>
            </c:ext>
          </c:extLst>
        </c:ser>
        <c:dLbls>
          <c:dLblPos val="t"/>
          <c:showLegendKey val="0"/>
          <c:showVal val="1"/>
          <c:showCatName val="0"/>
          <c:showSerName val="0"/>
          <c:showPercent val="0"/>
          <c:showBubbleSize val="0"/>
        </c:dLbls>
        <c:smooth val="0"/>
        <c:axId val="786151711"/>
        <c:axId val="786151231"/>
      </c:lineChart>
      <c:catAx>
        <c:axId val="786151711"/>
        <c:scaling>
          <c:orientation val="minMax"/>
        </c:scaling>
        <c:delete val="1"/>
        <c:axPos val="b"/>
        <c:numFmt formatCode="General" sourceLinked="1"/>
        <c:majorTickMark val="out"/>
        <c:minorTickMark val="none"/>
        <c:tickLblPos val="nextTo"/>
        <c:crossAx val="786151231"/>
        <c:crosses val="autoZero"/>
        <c:auto val="1"/>
        <c:lblAlgn val="ctr"/>
        <c:lblOffset val="100"/>
        <c:noMultiLvlLbl val="0"/>
      </c:catAx>
      <c:valAx>
        <c:axId val="786151231"/>
        <c:scaling>
          <c:orientation val="minMax"/>
        </c:scaling>
        <c:delete val="1"/>
        <c:axPos val="l"/>
        <c:numFmt formatCode="&quot;₹&quot;\ #,##0.00" sourceLinked="1"/>
        <c:majorTickMark val="out"/>
        <c:minorTickMark val="none"/>
        <c:tickLblPos val="nextTo"/>
        <c:crossAx val="78615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[Restaurant_Data_Analysis.xlsx]Pivot table!PivotTable3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solidFill>
              <a:schemeClr val="accent1"/>
            </a:solidFill>
            <a:ln>
              <a:noFill/>
            </a:ln>
            <a:effectLst/>
          </c:spPr>
          <c:invertIfNegative val="0"/>
          <c:cat>
            <c:strRef>
              <c:f>'Pivot table'!$H$4:$H$5</c:f>
              <c:strCache>
                <c:ptCount val="1"/>
                <c:pt idx="0">
                  <c:v>Anna Nagar</c:v>
                </c:pt>
              </c:strCache>
            </c:strRef>
          </c:cat>
          <c:val>
            <c:numRef>
              <c:f>'Pivot table'!$I$4:$I$5</c:f>
              <c:numCache>
                <c:formatCode>"₹"\ #,##0.00</c:formatCode>
                <c:ptCount val="1"/>
                <c:pt idx="0">
                  <c:v>13350</c:v>
                </c:pt>
              </c:numCache>
            </c:numRef>
          </c:val>
          <c:extLst>
            <c:ext xmlns:c16="http://schemas.microsoft.com/office/drawing/2014/chart" uri="{C3380CC4-5D6E-409C-BE32-E72D297353CC}">
              <c16:uniqueId val="{00000000-DD4A-42EC-955E-65B5E70EA220}"/>
            </c:ext>
          </c:extLst>
        </c:ser>
        <c:dLbls>
          <c:showLegendKey val="0"/>
          <c:showVal val="0"/>
          <c:showCatName val="0"/>
          <c:showSerName val="0"/>
          <c:showPercent val="0"/>
          <c:showBubbleSize val="0"/>
        </c:dLbls>
        <c:gapWidth val="219"/>
        <c:overlap val="-27"/>
        <c:axId val="787333439"/>
        <c:axId val="787334879"/>
      </c:barChart>
      <c:catAx>
        <c:axId val="787333439"/>
        <c:scaling>
          <c:orientation val="minMax"/>
        </c:scaling>
        <c:delete val="1"/>
        <c:axPos val="b"/>
        <c:numFmt formatCode="General" sourceLinked="1"/>
        <c:majorTickMark val="none"/>
        <c:minorTickMark val="none"/>
        <c:tickLblPos val="nextTo"/>
        <c:crossAx val="787334879"/>
        <c:crosses val="autoZero"/>
        <c:auto val="1"/>
        <c:lblAlgn val="ctr"/>
        <c:lblOffset val="100"/>
        <c:noMultiLvlLbl val="0"/>
      </c:catAx>
      <c:valAx>
        <c:axId val="787334879"/>
        <c:scaling>
          <c:orientation val="minMax"/>
        </c:scaling>
        <c:delete val="1"/>
        <c:axPos val="l"/>
        <c:numFmt formatCode="&quot;₹&quot;\ #,##0.00" sourceLinked="1"/>
        <c:majorTickMark val="none"/>
        <c:minorTickMark val="none"/>
        <c:tickLblPos val="nextTo"/>
        <c:crossAx val="7873334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[Restaurant_Data_Analysis.xlsx]Pivot table!PivotTable4</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table'!$L$3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table'!$K$4:$K$14</c:f>
              <c:strCache>
                <c:ptCount val="10"/>
                <c:pt idx="0">
                  <c:v>Adyar Ananda Bhavan</c:v>
                </c:pt>
                <c:pt idx="1">
                  <c:v>Sangeetha Veg Restaurant</c:v>
                </c:pt>
                <c:pt idx="2">
                  <c:v>Saravana Bhavan</c:v>
                </c:pt>
                <c:pt idx="3">
                  <c:v>Absolute Barbecues</c:v>
                </c:pt>
                <c:pt idx="4">
                  <c:v>Cream Centre</c:v>
                </c:pt>
                <c:pt idx="5">
                  <c:v>Buhari Restaurant</c:v>
                </c:pt>
                <c:pt idx="6">
                  <c:v>Copper Chimney</c:v>
                </c:pt>
                <c:pt idx="7">
                  <c:v>Barbeque Nation</c:v>
                </c:pt>
                <c:pt idx="8">
                  <c:v>Anjappar Chettinad</c:v>
                </c:pt>
                <c:pt idx="9">
                  <c:v>Murugan Idli Shop</c:v>
                </c:pt>
              </c:strCache>
            </c:strRef>
          </c:cat>
          <c:val>
            <c:numRef>
              <c:f>'Pivot table'!$L$4:$L$14</c:f>
              <c:numCache>
                <c:formatCode>"₹"\ #,##0.00</c:formatCode>
                <c:ptCount val="10"/>
                <c:pt idx="0">
                  <c:v>3900</c:v>
                </c:pt>
                <c:pt idx="1">
                  <c:v>1950</c:v>
                </c:pt>
                <c:pt idx="2">
                  <c:v>1500</c:v>
                </c:pt>
                <c:pt idx="3">
                  <c:v>1250</c:v>
                </c:pt>
                <c:pt idx="4">
                  <c:v>1050</c:v>
                </c:pt>
                <c:pt idx="5">
                  <c:v>1050</c:v>
                </c:pt>
                <c:pt idx="6">
                  <c:v>900</c:v>
                </c:pt>
                <c:pt idx="7">
                  <c:v>750</c:v>
                </c:pt>
                <c:pt idx="8">
                  <c:v>500</c:v>
                </c:pt>
                <c:pt idx="9">
                  <c:v>500</c:v>
                </c:pt>
              </c:numCache>
            </c:numRef>
          </c:val>
          <c:smooth val="0"/>
          <c:extLst>
            <c:ext xmlns:c16="http://schemas.microsoft.com/office/drawing/2014/chart" uri="{C3380CC4-5D6E-409C-BE32-E72D297353CC}">
              <c16:uniqueId val="{00000000-E2B7-47D8-9B47-E8FDC45E1DD5}"/>
            </c:ext>
          </c:extLst>
        </c:ser>
        <c:dLbls>
          <c:dLblPos val="t"/>
          <c:showLegendKey val="0"/>
          <c:showVal val="1"/>
          <c:showCatName val="0"/>
          <c:showSerName val="0"/>
          <c:showPercent val="0"/>
          <c:showBubbleSize val="0"/>
        </c:dLbls>
        <c:smooth val="0"/>
        <c:axId val="793010719"/>
        <c:axId val="793014079"/>
      </c:lineChart>
      <c:catAx>
        <c:axId val="793010719"/>
        <c:scaling>
          <c:orientation val="minMax"/>
        </c:scaling>
        <c:delete val="1"/>
        <c:axPos val="b"/>
        <c:numFmt formatCode="General" sourceLinked="1"/>
        <c:majorTickMark val="none"/>
        <c:minorTickMark val="none"/>
        <c:tickLblPos val="nextTo"/>
        <c:crossAx val="793014079"/>
        <c:crosses val="autoZero"/>
        <c:auto val="1"/>
        <c:lblAlgn val="ctr"/>
        <c:lblOffset val="100"/>
        <c:noMultiLvlLbl val="0"/>
      </c:catAx>
      <c:valAx>
        <c:axId val="793014079"/>
        <c:scaling>
          <c:orientation val="minMax"/>
        </c:scaling>
        <c:delete val="1"/>
        <c:axPos val="l"/>
        <c:numFmt formatCode="&quot;₹&quot;\ #,##0.00" sourceLinked="1"/>
        <c:majorTickMark val="none"/>
        <c:minorTickMark val="none"/>
        <c:tickLblPos val="nextTo"/>
        <c:crossAx val="7930107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[Restaurant_Data_Analysis.xlsx]Pivot table!PivotTable5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table'!$O$3</c:f>
              <c:strCache>
                <c:ptCount val="1"/>
                <c:pt idx="0">
                  <c:v>Sum of 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table'!$N$4:$N$14</c:f>
              <c:strCache>
                <c:ptCount val="10"/>
                <c:pt idx="0">
                  <c:v>Adyar Ananda Bhavan</c:v>
                </c:pt>
                <c:pt idx="1">
                  <c:v>Sangeetha Veg Restaurant</c:v>
                </c:pt>
                <c:pt idx="2">
                  <c:v>Saravana Bhavan</c:v>
                </c:pt>
                <c:pt idx="3">
                  <c:v>Absolute Barbecues</c:v>
                </c:pt>
                <c:pt idx="4">
                  <c:v>Cream Centre</c:v>
                </c:pt>
                <c:pt idx="5">
                  <c:v>Buhari Restaurant</c:v>
                </c:pt>
                <c:pt idx="6">
                  <c:v>Copper Chimney</c:v>
                </c:pt>
                <c:pt idx="7">
                  <c:v>Barbeque Nation</c:v>
                </c:pt>
                <c:pt idx="8">
                  <c:v>Anjappar Chettinad</c:v>
                </c:pt>
                <c:pt idx="9">
                  <c:v>Murugan Idli Shop</c:v>
                </c:pt>
              </c:strCache>
            </c:strRef>
          </c:cat>
          <c:val>
            <c:numRef>
              <c:f>'Pivot table'!$O$4:$O$14</c:f>
              <c:numCache>
                <c:formatCode>"₹"\ #,##0.00</c:formatCode>
                <c:ptCount val="10"/>
                <c:pt idx="0">
                  <c:v>3900</c:v>
                </c:pt>
                <c:pt idx="1">
                  <c:v>1950</c:v>
                </c:pt>
                <c:pt idx="2">
                  <c:v>1500</c:v>
                </c:pt>
                <c:pt idx="3">
                  <c:v>1250</c:v>
                </c:pt>
                <c:pt idx="4">
                  <c:v>1050</c:v>
                </c:pt>
                <c:pt idx="5">
                  <c:v>1050</c:v>
                </c:pt>
                <c:pt idx="6">
                  <c:v>900</c:v>
                </c:pt>
                <c:pt idx="7">
                  <c:v>750</c:v>
                </c:pt>
                <c:pt idx="8">
                  <c:v>500</c:v>
                </c:pt>
                <c:pt idx="9">
                  <c:v>500</c:v>
                </c:pt>
              </c:numCache>
            </c:numRef>
          </c:val>
          <c:extLst>
            <c:ext xmlns:c16="http://schemas.microsoft.com/office/drawing/2014/chart" uri="{C3380CC4-5D6E-409C-BE32-E72D297353CC}">
              <c16:uniqueId val="{00000000-46D6-41E4-8D75-F51A6FF7A7D3}"/>
            </c:ext>
          </c:extLst>
        </c:ser>
        <c:ser>
          <c:idx val="1"/>
          <c:order val="1"/>
          <c:tx>
            <c:strRef>
              <c:f>'Pivot table'!$P$3</c:f>
              <c:strCache>
                <c:ptCount val="1"/>
                <c:pt idx="0">
                  <c:v>Average of Rating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table'!$N$4:$N$14</c:f>
              <c:strCache>
                <c:ptCount val="10"/>
                <c:pt idx="0">
                  <c:v>Adyar Ananda Bhavan</c:v>
                </c:pt>
                <c:pt idx="1">
                  <c:v>Sangeetha Veg Restaurant</c:v>
                </c:pt>
                <c:pt idx="2">
                  <c:v>Saravana Bhavan</c:v>
                </c:pt>
                <c:pt idx="3">
                  <c:v>Absolute Barbecues</c:v>
                </c:pt>
                <c:pt idx="4">
                  <c:v>Cream Centre</c:v>
                </c:pt>
                <c:pt idx="5">
                  <c:v>Buhari Restaurant</c:v>
                </c:pt>
                <c:pt idx="6">
                  <c:v>Copper Chimney</c:v>
                </c:pt>
                <c:pt idx="7">
                  <c:v>Barbeque Nation</c:v>
                </c:pt>
                <c:pt idx="8">
                  <c:v>Anjappar Chettinad</c:v>
                </c:pt>
                <c:pt idx="9">
                  <c:v>Murugan Idli Shop</c:v>
                </c:pt>
              </c:strCache>
            </c:strRef>
          </c:cat>
          <c:val>
            <c:numRef>
              <c:f>'Pivot table'!$P$4:$P$14</c:f>
              <c:numCache>
                <c:formatCode>General</c:formatCode>
                <c:ptCount val="10"/>
                <c:pt idx="0">
                  <c:v>4.1499999999999995</c:v>
                </c:pt>
                <c:pt idx="1">
                  <c:v>3.65</c:v>
                </c:pt>
                <c:pt idx="2">
                  <c:v>3.6500000000000004</c:v>
                </c:pt>
                <c:pt idx="3">
                  <c:v>3.7</c:v>
                </c:pt>
                <c:pt idx="4">
                  <c:v>4.55</c:v>
                </c:pt>
                <c:pt idx="5">
                  <c:v>3.95</c:v>
                </c:pt>
                <c:pt idx="6">
                  <c:v>3.85</c:v>
                </c:pt>
                <c:pt idx="7">
                  <c:v>3.5999999999999996</c:v>
                </c:pt>
                <c:pt idx="8">
                  <c:v>3.3</c:v>
                </c:pt>
                <c:pt idx="9">
                  <c:v>4.3</c:v>
                </c:pt>
              </c:numCache>
            </c:numRef>
          </c:val>
          <c:extLst>
            <c:ext xmlns:c16="http://schemas.microsoft.com/office/drawing/2014/chart" uri="{C3380CC4-5D6E-409C-BE32-E72D297353CC}">
              <c16:uniqueId val="{00000001-46D6-41E4-8D75-F51A6FF7A7D3}"/>
            </c:ext>
          </c:extLst>
        </c:ser>
        <c:dLbls>
          <c:dLblPos val="outEnd"/>
          <c:showLegendKey val="0"/>
          <c:showVal val="1"/>
          <c:showCatName val="0"/>
          <c:showSerName val="0"/>
          <c:showPercent val="0"/>
          <c:showBubbleSize val="0"/>
        </c:dLbls>
        <c:gapWidth val="219"/>
        <c:overlap val="-27"/>
        <c:axId val="810076927"/>
        <c:axId val="810078847"/>
      </c:barChart>
      <c:catAx>
        <c:axId val="810076927"/>
        <c:scaling>
          <c:orientation val="minMax"/>
        </c:scaling>
        <c:delete val="1"/>
        <c:axPos val="b"/>
        <c:numFmt formatCode="General" sourceLinked="1"/>
        <c:majorTickMark val="none"/>
        <c:minorTickMark val="none"/>
        <c:tickLblPos val="nextTo"/>
        <c:crossAx val="810078847"/>
        <c:crosses val="autoZero"/>
        <c:auto val="1"/>
        <c:lblAlgn val="ctr"/>
        <c:lblOffset val="100"/>
        <c:noMultiLvlLbl val="0"/>
      </c:catAx>
      <c:valAx>
        <c:axId val="810078847"/>
        <c:scaling>
          <c:orientation val="minMax"/>
        </c:scaling>
        <c:delete val="1"/>
        <c:axPos val="l"/>
        <c:numFmt formatCode="&quot;₹&quot;\ #,##0.00" sourceLinked="1"/>
        <c:majorTickMark val="none"/>
        <c:minorTickMark val="none"/>
        <c:tickLblPos val="nextTo"/>
        <c:crossAx val="81007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[Restaurant_Data_Analysis.xlsx]Pivot table!PivotTable2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888888888888889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
              <c:y val="0.106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3.3333333333333284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8333333333333334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472222222222222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402318295739348"/>
          <c:y val="0.10205234762321376"/>
          <c:w val="0.41581364829396328"/>
          <c:h val="0.69302274715660539"/>
        </c:manualLayout>
      </c:layout>
      <c:doughnutChart>
        <c:varyColors val="1"/>
        <c:ser>
          <c:idx val="0"/>
          <c:order val="0"/>
          <c:tx>
            <c:strRef>
              <c:f>'Pivot table'!$F$3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4DA2-4BA3-9D20-FE8FBE5A26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A2-4BA3-9D20-FE8FBE5A26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4DA2-4BA3-9D20-FE8FBE5A26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4DA2-4BA3-9D20-FE8FBE5A26C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4DA2-4BA3-9D20-FE8FBE5A26C8}"/>
              </c:ext>
            </c:extLst>
          </c:dPt>
          <c:dLbls>
            <c:dLbl>
              <c:idx val="0"/>
              <c:layout>
                <c:manualLayout>
                  <c:x val="8.8888888888888892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DA2-4BA3-9D20-FE8FBE5A26C8}"/>
                </c:ext>
              </c:extLst>
            </c:dLbl>
            <c:dLbl>
              <c:idx val="1"/>
              <c:layout>
                <c:manualLayout>
                  <c:x val="0.1"/>
                  <c:y val="0.106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DA2-4BA3-9D20-FE8FBE5A26C8}"/>
                </c:ext>
              </c:extLst>
            </c:dLbl>
            <c:dLbl>
              <c:idx val="2"/>
              <c:layout>
                <c:manualLayout>
                  <c:x val="-0.14722222222222223"/>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DA2-4BA3-9D20-FE8FBE5A26C8}"/>
                </c:ext>
              </c:extLst>
            </c:dLbl>
            <c:dLbl>
              <c:idx val="3"/>
              <c:layout>
                <c:manualLayout>
                  <c:x val="-5.8333333333333334E-2"/>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DA2-4BA3-9D20-FE8FBE5A26C8}"/>
                </c:ext>
              </c:extLst>
            </c:dLbl>
            <c:dLbl>
              <c:idx val="4"/>
              <c:layout>
                <c:manualLayout>
                  <c:x val="3.3333333333333284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DA2-4BA3-9D20-FE8FBE5A26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table'!$E$4:$E$9</c:f>
              <c:strCache>
                <c:ptCount val="5"/>
                <c:pt idx="0">
                  <c:v>South Indian</c:v>
                </c:pt>
                <c:pt idx="1">
                  <c:v>North Indian</c:v>
                </c:pt>
                <c:pt idx="2">
                  <c:v>Arabian</c:v>
                </c:pt>
                <c:pt idx="3">
                  <c:v>Continental</c:v>
                </c:pt>
                <c:pt idx="4">
                  <c:v>Chinese</c:v>
                </c:pt>
              </c:strCache>
            </c:strRef>
          </c:cat>
          <c:val>
            <c:numRef>
              <c:f>'Pivot table'!$F$4:$F$9</c:f>
              <c:numCache>
                <c:formatCode>General</c:formatCode>
                <c:ptCount val="5"/>
                <c:pt idx="0">
                  <c:v>4.3</c:v>
                </c:pt>
                <c:pt idx="1">
                  <c:v>3.95</c:v>
                </c:pt>
                <c:pt idx="2">
                  <c:v>3.75</c:v>
                </c:pt>
                <c:pt idx="3">
                  <c:v>3.7</c:v>
                </c:pt>
                <c:pt idx="4">
                  <c:v>3.6799999999999997</c:v>
                </c:pt>
              </c:numCache>
            </c:numRef>
          </c:val>
          <c:extLst>
            <c:ext xmlns:c16="http://schemas.microsoft.com/office/drawing/2014/chart" uri="{C3380CC4-5D6E-409C-BE32-E72D297353CC}">
              <c16:uniqueId val="{00000000-4DA2-4BA3-9D20-FE8FBE5A26C8}"/>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a:schemeClr val="accent1">
          <a:alpha val="40000"/>
        </a:schemeClr>
      </a:glo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[Restaurant_Data_Analysis.xlsx]Pivot table!PivotTable2</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888888888888889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
              <c:y val="0.106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3.3333333333333284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5.8333333333333334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0.1472222222222222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888888888888889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
              <c:y val="0.106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3333333333333284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8333333333333334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472222222222222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5231175768921257"/>
              <c:y val="-7.4073896509090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9057215112662318"/>
              <c:y val="-0.125477071569863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3.3333333333333284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2257539621178706"/>
              <c:y val="2.4652008908915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21517524384606165"/>
              <c:y val="5.0567666375282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402318295739348"/>
          <c:y val="0.10205234762321376"/>
          <c:w val="0.41581364829396328"/>
          <c:h val="0.69302274715660539"/>
        </c:manualLayout>
      </c:layout>
      <c:doughnutChart>
        <c:varyColors val="1"/>
        <c:ser>
          <c:idx val="0"/>
          <c:order val="0"/>
          <c:tx>
            <c:strRef>
              <c:f>'Pivot table'!$F$3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8B-43BF-BED4-E44573F6D4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8B-43BF-BED4-E44573F6D4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8B-43BF-BED4-E44573F6D4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8B-43BF-BED4-E44573F6D4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98B-43BF-BED4-E44573F6D42D}"/>
              </c:ext>
            </c:extLst>
          </c:dPt>
          <c:dLbls>
            <c:dLbl>
              <c:idx val="0"/>
              <c:layout>
                <c:manualLayout>
                  <c:x val="0.15231175768921257"/>
                  <c:y val="-7.40738965090901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8B-43BF-BED4-E44573F6D42D}"/>
                </c:ext>
              </c:extLst>
            </c:dLbl>
            <c:dLbl>
              <c:idx val="1"/>
              <c:layout>
                <c:manualLayout>
                  <c:x val="0.19057215112662318"/>
                  <c:y val="-0.125477071569863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8B-43BF-BED4-E44573F6D42D}"/>
                </c:ext>
              </c:extLst>
            </c:dLbl>
            <c:dLbl>
              <c:idx val="2"/>
              <c:layout>
                <c:manualLayout>
                  <c:x val="-0.21517524384606165"/>
                  <c:y val="5.05676663752824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8B-43BF-BED4-E44573F6D42D}"/>
                </c:ext>
              </c:extLst>
            </c:dLbl>
            <c:dLbl>
              <c:idx val="3"/>
              <c:layout>
                <c:manualLayout>
                  <c:x val="-0.2257539621178706"/>
                  <c:y val="2.46520089089155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8B-43BF-BED4-E44573F6D42D}"/>
                </c:ext>
              </c:extLst>
            </c:dLbl>
            <c:dLbl>
              <c:idx val="4"/>
              <c:layout>
                <c:manualLayout>
                  <c:x val="3.3333333333333284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8B-43BF-BED4-E44573F6D4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table'!$E$4:$E$9</c:f>
              <c:strCache>
                <c:ptCount val="5"/>
                <c:pt idx="0">
                  <c:v>South Indian</c:v>
                </c:pt>
                <c:pt idx="1">
                  <c:v>North Indian</c:v>
                </c:pt>
                <c:pt idx="2">
                  <c:v>Arabian</c:v>
                </c:pt>
                <c:pt idx="3">
                  <c:v>Continental</c:v>
                </c:pt>
                <c:pt idx="4">
                  <c:v>Chinese</c:v>
                </c:pt>
              </c:strCache>
            </c:strRef>
          </c:cat>
          <c:val>
            <c:numRef>
              <c:f>'Pivot table'!$F$4:$F$9</c:f>
              <c:numCache>
                <c:formatCode>General</c:formatCode>
                <c:ptCount val="5"/>
                <c:pt idx="0">
                  <c:v>4.3</c:v>
                </c:pt>
                <c:pt idx="1">
                  <c:v>3.95</c:v>
                </c:pt>
                <c:pt idx="2">
                  <c:v>3.75</c:v>
                </c:pt>
                <c:pt idx="3">
                  <c:v>3.7</c:v>
                </c:pt>
                <c:pt idx="4">
                  <c:v>3.6799999999999997</c:v>
                </c:pt>
              </c:numCache>
            </c:numRef>
          </c:val>
          <c:extLst>
            <c:ext xmlns:c16="http://schemas.microsoft.com/office/drawing/2014/chart" uri="{C3380CC4-5D6E-409C-BE32-E72D297353CC}">
              <c16:uniqueId val="{0000000A-198B-43BF-BED4-E44573F6D42D}"/>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b"/>
      <c:layout>
        <c:manualLayout>
          <c:xMode val="edge"/>
          <c:yMode val="edge"/>
          <c:x val="0.19060978637429871"/>
          <c:y val="0.68352433110826649"/>
          <c:w val="0.76374683956099143"/>
          <c:h val="0.316475668891733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chemeClr val="accent1">
          <a:alpha val="40000"/>
        </a:schemeClr>
      </a:glo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[Restaurant_Data_Analysis.xlsx]Pivot table!PivotTable1</c:name>
    <c:fmtId val="1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8.3751093613299351E-3"/>
              <c:y val="-6.90981335666383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8.3751093613299351E-3"/>
              <c:y val="-6.90981335666383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8.3751093613299351E-3"/>
              <c:y val="-6.90981335666383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Sum of Price</c:v>
                </c:pt>
              </c:strCache>
            </c:strRef>
          </c:tx>
          <c:spPr>
            <a:ln w="28575" cap="rnd">
              <a:solidFill>
                <a:schemeClr val="accent1"/>
              </a:solidFill>
              <a:round/>
            </a:ln>
            <a:effectLst/>
          </c:spPr>
          <c:marker>
            <c:symbol val="none"/>
          </c:marker>
          <c:dPt>
            <c:idx val="1"/>
            <c:marker>
              <c:symbol val="none"/>
            </c:marker>
            <c:bubble3D val="0"/>
            <c:extLst>
              <c:ext xmlns:c16="http://schemas.microsoft.com/office/drawing/2014/chart" uri="{C3380CC4-5D6E-409C-BE32-E72D297353CC}">
                <c16:uniqueId val="{00000000-1E41-4EA0-92E3-2380BA0F1B01}"/>
              </c:ext>
            </c:extLst>
          </c:dPt>
          <c:dLbls>
            <c:dLbl>
              <c:idx val="1"/>
              <c:layout>
                <c:manualLayout>
                  <c:x val="-8.3751093613299351E-3"/>
                  <c:y val="-6.909813356663835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E41-4EA0-92E3-2380BA0F1B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Non-Veg</c:v>
                </c:pt>
                <c:pt idx="1">
                  <c:v>Veg</c:v>
                </c:pt>
              </c:strCache>
            </c:strRef>
          </c:cat>
          <c:val>
            <c:numRef>
              <c:f>'Pivot table'!$B$4:$B$6</c:f>
              <c:numCache>
                <c:formatCode>"₹"\ #,##0.00</c:formatCode>
                <c:ptCount val="2"/>
                <c:pt idx="0">
                  <c:v>6850</c:v>
                </c:pt>
                <c:pt idx="1">
                  <c:v>6500</c:v>
                </c:pt>
              </c:numCache>
            </c:numRef>
          </c:val>
          <c:smooth val="0"/>
          <c:extLst>
            <c:ext xmlns:c16="http://schemas.microsoft.com/office/drawing/2014/chart" uri="{C3380CC4-5D6E-409C-BE32-E72D297353CC}">
              <c16:uniqueId val="{00000001-1E41-4EA0-92E3-2380BA0F1B01}"/>
            </c:ext>
          </c:extLst>
        </c:ser>
        <c:ser>
          <c:idx val="1"/>
          <c:order val="1"/>
          <c:tx>
            <c:strRef>
              <c:f>'Pivot table'!$C$3</c:f>
              <c:strCache>
                <c:ptCount val="1"/>
                <c:pt idx="0">
                  <c:v>Average of Rating</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Non-Veg</c:v>
                </c:pt>
                <c:pt idx="1">
                  <c:v>Veg</c:v>
                </c:pt>
              </c:strCache>
            </c:strRef>
          </c:cat>
          <c:val>
            <c:numRef>
              <c:f>'Pivot table'!$C$4:$C$6</c:f>
              <c:numCache>
                <c:formatCode>General</c:formatCode>
                <c:ptCount val="2"/>
                <c:pt idx="0">
                  <c:v>3.8899999999999997</c:v>
                </c:pt>
                <c:pt idx="1">
                  <c:v>3.890909090909092</c:v>
                </c:pt>
              </c:numCache>
            </c:numRef>
          </c:val>
          <c:smooth val="0"/>
          <c:extLst>
            <c:ext xmlns:c16="http://schemas.microsoft.com/office/drawing/2014/chart" uri="{C3380CC4-5D6E-409C-BE32-E72D297353CC}">
              <c16:uniqueId val="{00000002-1E41-4EA0-92E3-2380BA0F1B01}"/>
            </c:ext>
          </c:extLst>
        </c:ser>
        <c:dLbls>
          <c:dLblPos val="t"/>
          <c:showLegendKey val="0"/>
          <c:showVal val="1"/>
          <c:showCatName val="0"/>
          <c:showSerName val="0"/>
          <c:showPercent val="0"/>
          <c:showBubbleSize val="0"/>
        </c:dLbls>
        <c:smooth val="0"/>
        <c:axId val="786151711"/>
        <c:axId val="786151231"/>
      </c:lineChart>
      <c:catAx>
        <c:axId val="786151711"/>
        <c:scaling>
          <c:orientation val="minMax"/>
        </c:scaling>
        <c:delete val="1"/>
        <c:axPos val="b"/>
        <c:numFmt formatCode="General" sourceLinked="1"/>
        <c:majorTickMark val="out"/>
        <c:minorTickMark val="none"/>
        <c:tickLblPos val="nextTo"/>
        <c:crossAx val="786151231"/>
        <c:crosses val="autoZero"/>
        <c:auto val="1"/>
        <c:lblAlgn val="ctr"/>
        <c:lblOffset val="100"/>
        <c:noMultiLvlLbl val="0"/>
      </c:catAx>
      <c:valAx>
        <c:axId val="786151231"/>
        <c:scaling>
          <c:orientation val="minMax"/>
        </c:scaling>
        <c:delete val="1"/>
        <c:axPos val="l"/>
        <c:numFmt formatCode="&quot;₹&quot;\ #,##0.00" sourceLinked="1"/>
        <c:majorTickMark val="out"/>
        <c:minorTickMark val="none"/>
        <c:tickLblPos val="nextTo"/>
        <c:crossAx val="78615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[Restaurant_Data_Analysis.xlsx]Pivot table!PivotTable3</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solidFill>
              <a:schemeClr val="accent1"/>
            </a:solidFill>
            <a:ln>
              <a:noFill/>
            </a:ln>
            <a:effectLst/>
          </c:spPr>
          <c:invertIfNegative val="0"/>
          <c:cat>
            <c:strRef>
              <c:f>'Pivot table'!$H$4:$H$5</c:f>
              <c:strCache>
                <c:ptCount val="1"/>
                <c:pt idx="0">
                  <c:v>Anna Nagar</c:v>
                </c:pt>
              </c:strCache>
            </c:strRef>
          </c:cat>
          <c:val>
            <c:numRef>
              <c:f>'Pivot table'!$I$4:$I$5</c:f>
              <c:numCache>
                <c:formatCode>"₹"\ #,##0.00</c:formatCode>
                <c:ptCount val="1"/>
                <c:pt idx="0">
                  <c:v>13350</c:v>
                </c:pt>
              </c:numCache>
            </c:numRef>
          </c:val>
          <c:extLst>
            <c:ext xmlns:c16="http://schemas.microsoft.com/office/drawing/2014/chart" uri="{C3380CC4-5D6E-409C-BE32-E72D297353CC}">
              <c16:uniqueId val="{00000000-B815-4A4C-89DC-9D6A87FA832D}"/>
            </c:ext>
          </c:extLst>
        </c:ser>
        <c:dLbls>
          <c:showLegendKey val="0"/>
          <c:showVal val="0"/>
          <c:showCatName val="0"/>
          <c:showSerName val="0"/>
          <c:showPercent val="0"/>
          <c:showBubbleSize val="0"/>
        </c:dLbls>
        <c:gapWidth val="219"/>
        <c:overlap val="-27"/>
        <c:axId val="787333439"/>
        <c:axId val="787334879"/>
      </c:barChart>
      <c:catAx>
        <c:axId val="787333439"/>
        <c:scaling>
          <c:orientation val="minMax"/>
        </c:scaling>
        <c:delete val="1"/>
        <c:axPos val="b"/>
        <c:numFmt formatCode="General" sourceLinked="1"/>
        <c:majorTickMark val="none"/>
        <c:minorTickMark val="none"/>
        <c:tickLblPos val="nextTo"/>
        <c:crossAx val="787334879"/>
        <c:crosses val="autoZero"/>
        <c:auto val="1"/>
        <c:lblAlgn val="ctr"/>
        <c:lblOffset val="100"/>
        <c:noMultiLvlLbl val="0"/>
      </c:catAx>
      <c:valAx>
        <c:axId val="787334879"/>
        <c:scaling>
          <c:orientation val="minMax"/>
        </c:scaling>
        <c:delete val="1"/>
        <c:axPos val="l"/>
        <c:numFmt formatCode="&quot;₹&quot;\ #,##0.00" sourceLinked="1"/>
        <c:majorTickMark val="none"/>
        <c:minorTickMark val="none"/>
        <c:tickLblPos val="nextTo"/>
        <c:crossAx val="7873334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[Restaurant_Data_Analysis.xlsx]Pivot table!PivotTable4</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table'!$L$3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table'!$K$4:$K$14</c:f>
              <c:strCache>
                <c:ptCount val="10"/>
                <c:pt idx="0">
                  <c:v>Adyar Ananda Bhavan</c:v>
                </c:pt>
                <c:pt idx="1">
                  <c:v>Sangeetha Veg Restaurant</c:v>
                </c:pt>
                <c:pt idx="2">
                  <c:v>Saravana Bhavan</c:v>
                </c:pt>
                <c:pt idx="3">
                  <c:v>Absolute Barbecues</c:v>
                </c:pt>
                <c:pt idx="4">
                  <c:v>Cream Centre</c:v>
                </c:pt>
                <c:pt idx="5">
                  <c:v>Buhari Restaurant</c:v>
                </c:pt>
                <c:pt idx="6">
                  <c:v>Copper Chimney</c:v>
                </c:pt>
                <c:pt idx="7">
                  <c:v>Barbeque Nation</c:v>
                </c:pt>
                <c:pt idx="8">
                  <c:v>Anjappar Chettinad</c:v>
                </c:pt>
                <c:pt idx="9">
                  <c:v>Murugan Idli Shop</c:v>
                </c:pt>
              </c:strCache>
            </c:strRef>
          </c:cat>
          <c:val>
            <c:numRef>
              <c:f>'Pivot table'!$L$4:$L$14</c:f>
              <c:numCache>
                <c:formatCode>"₹"\ #,##0.00</c:formatCode>
                <c:ptCount val="10"/>
                <c:pt idx="0">
                  <c:v>3900</c:v>
                </c:pt>
                <c:pt idx="1">
                  <c:v>1950</c:v>
                </c:pt>
                <c:pt idx="2">
                  <c:v>1500</c:v>
                </c:pt>
                <c:pt idx="3">
                  <c:v>1250</c:v>
                </c:pt>
                <c:pt idx="4">
                  <c:v>1050</c:v>
                </c:pt>
                <c:pt idx="5">
                  <c:v>1050</c:v>
                </c:pt>
                <c:pt idx="6">
                  <c:v>900</c:v>
                </c:pt>
                <c:pt idx="7">
                  <c:v>750</c:v>
                </c:pt>
                <c:pt idx="8">
                  <c:v>500</c:v>
                </c:pt>
                <c:pt idx="9">
                  <c:v>500</c:v>
                </c:pt>
              </c:numCache>
            </c:numRef>
          </c:val>
          <c:smooth val="0"/>
          <c:extLst>
            <c:ext xmlns:c16="http://schemas.microsoft.com/office/drawing/2014/chart" uri="{C3380CC4-5D6E-409C-BE32-E72D297353CC}">
              <c16:uniqueId val="{00000000-D9DD-4220-9F85-71DF88576A18}"/>
            </c:ext>
          </c:extLst>
        </c:ser>
        <c:dLbls>
          <c:dLblPos val="t"/>
          <c:showLegendKey val="0"/>
          <c:showVal val="1"/>
          <c:showCatName val="0"/>
          <c:showSerName val="0"/>
          <c:showPercent val="0"/>
          <c:showBubbleSize val="0"/>
        </c:dLbls>
        <c:smooth val="0"/>
        <c:axId val="793010719"/>
        <c:axId val="793014079"/>
      </c:lineChart>
      <c:catAx>
        <c:axId val="793010719"/>
        <c:scaling>
          <c:orientation val="minMax"/>
        </c:scaling>
        <c:delete val="1"/>
        <c:axPos val="b"/>
        <c:numFmt formatCode="General" sourceLinked="1"/>
        <c:majorTickMark val="none"/>
        <c:minorTickMark val="none"/>
        <c:tickLblPos val="nextTo"/>
        <c:crossAx val="793014079"/>
        <c:crosses val="autoZero"/>
        <c:auto val="1"/>
        <c:lblAlgn val="ctr"/>
        <c:lblOffset val="100"/>
        <c:noMultiLvlLbl val="0"/>
      </c:catAx>
      <c:valAx>
        <c:axId val="793014079"/>
        <c:scaling>
          <c:orientation val="minMax"/>
        </c:scaling>
        <c:delete val="1"/>
        <c:axPos val="l"/>
        <c:numFmt formatCode="&quot;₹&quot;\ #,##0.00" sourceLinked="1"/>
        <c:majorTickMark val="none"/>
        <c:minorTickMark val="none"/>
        <c:tickLblPos val="nextTo"/>
        <c:crossAx val="7930107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[Restaurant_Data_Analysis.xlsx]Pivot table!PivotTable5</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table'!$O$3</c:f>
              <c:strCache>
                <c:ptCount val="1"/>
                <c:pt idx="0">
                  <c:v>Sum of 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table'!$N$4:$N$14</c:f>
              <c:strCache>
                <c:ptCount val="10"/>
                <c:pt idx="0">
                  <c:v>Adyar Ananda Bhavan</c:v>
                </c:pt>
                <c:pt idx="1">
                  <c:v>Sangeetha Veg Restaurant</c:v>
                </c:pt>
                <c:pt idx="2">
                  <c:v>Saravana Bhavan</c:v>
                </c:pt>
                <c:pt idx="3">
                  <c:v>Absolute Barbecues</c:v>
                </c:pt>
                <c:pt idx="4">
                  <c:v>Cream Centre</c:v>
                </c:pt>
                <c:pt idx="5">
                  <c:v>Buhari Restaurant</c:v>
                </c:pt>
                <c:pt idx="6">
                  <c:v>Copper Chimney</c:v>
                </c:pt>
                <c:pt idx="7">
                  <c:v>Barbeque Nation</c:v>
                </c:pt>
                <c:pt idx="8">
                  <c:v>Anjappar Chettinad</c:v>
                </c:pt>
                <c:pt idx="9">
                  <c:v>Murugan Idli Shop</c:v>
                </c:pt>
              </c:strCache>
            </c:strRef>
          </c:cat>
          <c:val>
            <c:numRef>
              <c:f>'Pivot table'!$O$4:$O$14</c:f>
              <c:numCache>
                <c:formatCode>"₹"\ #,##0.00</c:formatCode>
                <c:ptCount val="10"/>
                <c:pt idx="0">
                  <c:v>3900</c:v>
                </c:pt>
                <c:pt idx="1">
                  <c:v>1950</c:v>
                </c:pt>
                <c:pt idx="2">
                  <c:v>1500</c:v>
                </c:pt>
                <c:pt idx="3">
                  <c:v>1250</c:v>
                </c:pt>
                <c:pt idx="4">
                  <c:v>1050</c:v>
                </c:pt>
                <c:pt idx="5">
                  <c:v>1050</c:v>
                </c:pt>
                <c:pt idx="6">
                  <c:v>900</c:v>
                </c:pt>
                <c:pt idx="7">
                  <c:v>750</c:v>
                </c:pt>
                <c:pt idx="8">
                  <c:v>500</c:v>
                </c:pt>
                <c:pt idx="9">
                  <c:v>500</c:v>
                </c:pt>
              </c:numCache>
            </c:numRef>
          </c:val>
          <c:extLst>
            <c:ext xmlns:c16="http://schemas.microsoft.com/office/drawing/2014/chart" uri="{C3380CC4-5D6E-409C-BE32-E72D297353CC}">
              <c16:uniqueId val="{00000000-80A8-4BF9-A632-272FB6356BD2}"/>
            </c:ext>
          </c:extLst>
        </c:ser>
        <c:ser>
          <c:idx val="1"/>
          <c:order val="1"/>
          <c:tx>
            <c:strRef>
              <c:f>'Pivot table'!$P$3</c:f>
              <c:strCache>
                <c:ptCount val="1"/>
                <c:pt idx="0">
                  <c:v>Average of Rating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table'!$N$4:$N$14</c:f>
              <c:strCache>
                <c:ptCount val="10"/>
                <c:pt idx="0">
                  <c:v>Adyar Ananda Bhavan</c:v>
                </c:pt>
                <c:pt idx="1">
                  <c:v>Sangeetha Veg Restaurant</c:v>
                </c:pt>
                <c:pt idx="2">
                  <c:v>Saravana Bhavan</c:v>
                </c:pt>
                <c:pt idx="3">
                  <c:v>Absolute Barbecues</c:v>
                </c:pt>
                <c:pt idx="4">
                  <c:v>Cream Centre</c:v>
                </c:pt>
                <c:pt idx="5">
                  <c:v>Buhari Restaurant</c:v>
                </c:pt>
                <c:pt idx="6">
                  <c:v>Copper Chimney</c:v>
                </c:pt>
                <c:pt idx="7">
                  <c:v>Barbeque Nation</c:v>
                </c:pt>
                <c:pt idx="8">
                  <c:v>Anjappar Chettinad</c:v>
                </c:pt>
                <c:pt idx="9">
                  <c:v>Murugan Idli Shop</c:v>
                </c:pt>
              </c:strCache>
            </c:strRef>
          </c:cat>
          <c:val>
            <c:numRef>
              <c:f>'Pivot table'!$P$4:$P$14</c:f>
              <c:numCache>
                <c:formatCode>General</c:formatCode>
                <c:ptCount val="10"/>
                <c:pt idx="0">
                  <c:v>4.1499999999999995</c:v>
                </c:pt>
                <c:pt idx="1">
                  <c:v>3.65</c:v>
                </c:pt>
                <c:pt idx="2">
                  <c:v>3.6500000000000004</c:v>
                </c:pt>
                <c:pt idx="3">
                  <c:v>3.7</c:v>
                </c:pt>
                <c:pt idx="4">
                  <c:v>4.55</c:v>
                </c:pt>
                <c:pt idx="5">
                  <c:v>3.95</c:v>
                </c:pt>
                <c:pt idx="6">
                  <c:v>3.85</c:v>
                </c:pt>
                <c:pt idx="7">
                  <c:v>3.5999999999999996</c:v>
                </c:pt>
                <c:pt idx="8">
                  <c:v>3.3</c:v>
                </c:pt>
                <c:pt idx="9">
                  <c:v>4.3</c:v>
                </c:pt>
              </c:numCache>
            </c:numRef>
          </c:val>
          <c:extLst>
            <c:ext xmlns:c16="http://schemas.microsoft.com/office/drawing/2014/chart" uri="{C3380CC4-5D6E-409C-BE32-E72D297353CC}">
              <c16:uniqueId val="{00000001-80A8-4BF9-A632-272FB6356BD2}"/>
            </c:ext>
          </c:extLst>
        </c:ser>
        <c:dLbls>
          <c:dLblPos val="outEnd"/>
          <c:showLegendKey val="0"/>
          <c:showVal val="1"/>
          <c:showCatName val="0"/>
          <c:showSerName val="0"/>
          <c:showPercent val="0"/>
          <c:showBubbleSize val="0"/>
        </c:dLbls>
        <c:gapWidth val="219"/>
        <c:overlap val="-27"/>
        <c:axId val="810076927"/>
        <c:axId val="810078847"/>
      </c:barChart>
      <c:catAx>
        <c:axId val="810076927"/>
        <c:scaling>
          <c:orientation val="minMax"/>
        </c:scaling>
        <c:delete val="1"/>
        <c:axPos val="b"/>
        <c:numFmt formatCode="General" sourceLinked="1"/>
        <c:majorTickMark val="none"/>
        <c:minorTickMark val="none"/>
        <c:tickLblPos val="nextTo"/>
        <c:crossAx val="810078847"/>
        <c:crosses val="autoZero"/>
        <c:auto val="1"/>
        <c:lblAlgn val="ctr"/>
        <c:lblOffset val="100"/>
        <c:noMultiLvlLbl val="0"/>
      </c:catAx>
      <c:valAx>
        <c:axId val="810078847"/>
        <c:scaling>
          <c:orientation val="minMax"/>
        </c:scaling>
        <c:delete val="1"/>
        <c:axPos val="l"/>
        <c:numFmt formatCode="&quot;₹&quot;\ #,##0.00" sourceLinked="1"/>
        <c:majorTickMark val="none"/>
        <c:minorTickMark val="none"/>
        <c:tickLblPos val="nextTo"/>
        <c:crossAx val="81007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7.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image" Target="../media/image1.png"/><Relationship Id="rId1" Type="http://schemas.openxmlformats.org/officeDocument/2006/relationships/chart" Target="../charts/chart6.xml"/><Relationship Id="rId6" Type="http://schemas.openxmlformats.org/officeDocument/2006/relationships/chart" Target="../charts/chart10.xml"/><Relationship Id="rId11" Type="http://schemas.openxmlformats.org/officeDocument/2006/relationships/image" Target="../media/image6.png"/><Relationship Id="rId5" Type="http://schemas.openxmlformats.org/officeDocument/2006/relationships/chart" Target="../charts/chart9.xml"/><Relationship Id="rId10" Type="http://schemas.openxmlformats.org/officeDocument/2006/relationships/image" Target="../media/image5.svg"/><Relationship Id="rId4" Type="http://schemas.openxmlformats.org/officeDocument/2006/relationships/chart" Target="../charts/chart8.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25400</xdr:rowOff>
    </xdr:from>
    <xdr:to>
      <xdr:col>3</xdr:col>
      <xdr:colOff>6350</xdr:colOff>
      <xdr:row>2</xdr:row>
      <xdr:rowOff>19050</xdr:rowOff>
    </xdr:to>
    <xdr:sp macro="" textlink="">
      <xdr:nvSpPr>
        <xdr:cNvPr id="2" name="Rectangle: Rounded Corners 1">
          <a:extLst>
            <a:ext uri="{FF2B5EF4-FFF2-40B4-BE49-F238E27FC236}">
              <a16:creationId xmlns:a16="http://schemas.microsoft.com/office/drawing/2014/main" id="{D3D728C9-B9A0-EADD-C682-84A3CA93A8CC}"/>
            </a:ext>
          </a:extLst>
        </xdr:cNvPr>
        <xdr:cNvSpPr/>
      </xdr:nvSpPr>
      <xdr:spPr>
        <a:xfrm>
          <a:off x="0" y="25400"/>
          <a:ext cx="2736850" cy="3619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1">
                  <a:lumMod val="75000"/>
                </a:schemeClr>
              </a:solidFill>
            </a:rPr>
            <a:t>Veg</a:t>
          </a:r>
          <a:r>
            <a:rPr lang="en-IN" sz="1200" b="1" baseline="0">
              <a:solidFill>
                <a:schemeClr val="accent1">
                  <a:lumMod val="75000"/>
                </a:schemeClr>
              </a:solidFill>
            </a:rPr>
            <a:t> vs Non veg by Price and rating</a:t>
          </a:r>
          <a:endParaRPr lang="en-IN" sz="1200" b="1">
            <a:solidFill>
              <a:schemeClr val="accent1">
                <a:lumMod val="75000"/>
              </a:schemeClr>
            </a:solidFill>
          </a:endParaRPr>
        </a:p>
      </xdr:txBody>
    </xdr:sp>
    <xdr:clientData/>
  </xdr:twoCellAnchor>
  <xdr:twoCellAnchor>
    <xdr:from>
      <xdr:col>4</xdr:col>
      <xdr:colOff>0</xdr:colOff>
      <xdr:row>0</xdr:row>
      <xdr:rowOff>0</xdr:rowOff>
    </xdr:from>
    <xdr:to>
      <xdr:col>6</xdr:col>
      <xdr:colOff>19050</xdr:colOff>
      <xdr:row>1</xdr:row>
      <xdr:rowOff>177800</xdr:rowOff>
    </xdr:to>
    <xdr:sp macro="" textlink="">
      <xdr:nvSpPr>
        <xdr:cNvPr id="3" name="Rectangle: Rounded Corners 2">
          <a:extLst>
            <a:ext uri="{FF2B5EF4-FFF2-40B4-BE49-F238E27FC236}">
              <a16:creationId xmlns:a16="http://schemas.microsoft.com/office/drawing/2014/main" id="{D476E39B-7804-4A52-9C7F-5CFF76E3D0E8}"/>
            </a:ext>
          </a:extLst>
        </xdr:cNvPr>
        <xdr:cNvSpPr/>
      </xdr:nvSpPr>
      <xdr:spPr>
        <a:xfrm>
          <a:off x="3340100" y="0"/>
          <a:ext cx="1968500" cy="3619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solidFill>
                <a:schemeClr val="accent1">
                  <a:lumMod val="75000"/>
                </a:schemeClr>
              </a:solidFill>
            </a:rPr>
            <a:t>Popular</a:t>
          </a:r>
          <a:r>
            <a:rPr lang="en-IN" sz="1050" b="1" baseline="0">
              <a:solidFill>
                <a:schemeClr val="accent1">
                  <a:lumMod val="75000"/>
                </a:schemeClr>
              </a:solidFill>
            </a:rPr>
            <a:t> cuisines by Rating</a:t>
          </a:r>
          <a:endParaRPr lang="en-IN" sz="1050" b="1">
            <a:solidFill>
              <a:schemeClr val="accent1">
                <a:lumMod val="75000"/>
              </a:schemeClr>
            </a:solidFill>
          </a:endParaRPr>
        </a:p>
      </xdr:txBody>
    </xdr:sp>
    <xdr:clientData/>
  </xdr:twoCellAnchor>
  <xdr:twoCellAnchor>
    <xdr:from>
      <xdr:col>7</xdr:col>
      <xdr:colOff>0</xdr:colOff>
      <xdr:row>0</xdr:row>
      <xdr:rowOff>38100</xdr:rowOff>
    </xdr:from>
    <xdr:to>
      <xdr:col>9</xdr:col>
      <xdr:colOff>31750</xdr:colOff>
      <xdr:row>1</xdr:row>
      <xdr:rowOff>165100</xdr:rowOff>
    </xdr:to>
    <xdr:sp macro="" textlink="">
      <xdr:nvSpPr>
        <xdr:cNvPr id="4" name="Rectangle: Rounded Corners 3">
          <a:extLst>
            <a:ext uri="{FF2B5EF4-FFF2-40B4-BE49-F238E27FC236}">
              <a16:creationId xmlns:a16="http://schemas.microsoft.com/office/drawing/2014/main" id="{B824153A-866D-4A1A-8E84-578F8F7279C8}"/>
            </a:ext>
          </a:extLst>
        </xdr:cNvPr>
        <xdr:cNvSpPr/>
      </xdr:nvSpPr>
      <xdr:spPr>
        <a:xfrm>
          <a:off x="5676900" y="38100"/>
          <a:ext cx="1250950" cy="3111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1">
                  <a:lumMod val="75000"/>
                </a:schemeClr>
              </a:solidFill>
            </a:rPr>
            <a:t>Sales</a:t>
          </a:r>
          <a:r>
            <a:rPr lang="en-IN" sz="1200" b="1" baseline="0">
              <a:solidFill>
                <a:schemeClr val="accent1">
                  <a:lumMod val="75000"/>
                </a:schemeClr>
              </a:solidFill>
            </a:rPr>
            <a:t> by Location</a:t>
          </a:r>
        </a:p>
        <a:p>
          <a:pPr algn="ctr"/>
          <a:endParaRPr lang="en-IN" sz="1200" b="1">
            <a:solidFill>
              <a:schemeClr val="accent1">
                <a:lumMod val="75000"/>
              </a:schemeClr>
            </a:solidFill>
          </a:endParaRPr>
        </a:p>
      </xdr:txBody>
    </xdr:sp>
    <xdr:clientData/>
  </xdr:twoCellAnchor>
  <xdr:twoCellAnchor>
    <xdr:from>
      <xdr:col>10</xdr:col>
      <xdr:colOff>31750</xdr:colOff>
      <xdr:row>0</xdr:row>
      <xdr:rowOff>19050</xdr:rowOff>
    </xdr:from>
    <xdr:to>
      <xdr:col>11</xdr:col>
      <xdr:colOff>774700</xdr:colOff>
      <xdr:row>1</xdr:row>
      <xdr:rowOff>146050</xdr:rowOff>
    </xdr:to>
    <xdr:sp macro="" textlink="">
      <xdr:nvSpPr>
        <xdr:cNvPr id="5" name="Rectangle: Rounded Corners 4">
          <a:extLst>
            <a:ext uri="{FF2B5EF4-FFF2-40B4-BE49-F238E27FC236}">
              <a16:creationId xmlns:a16="http://schemas.microsoft.com/office/drawing/2014/main" id="{21DCB86C-026D-40A6-BAA0-B805CE23C9E5}"/>
            </a:ext>
          </a:extLst>
        </xdr:cNvPr>
        <xdr:cNvSpPr/>
      </xdr:nvSpPr>
      <xdr:spPr>
        <a:xfrm>
          <a:off x="8331200" y="19050"/>
          <a:ext cx="2330450" cy="3111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1">
                  <a:lumMod val="75000"/>
                </a:schemeClr>
              </a:solidFill>
            </a:rPr>
            <a:t>Sales</a:t>
          </a:r>
          <a:r>
            <a:rPr lang="en-IN" sz="1200" b="1" baseline="0">
              <a:solidFill>
                <a:schemeClr val="accent1">
                  <a:lumMod val="75000"/>
                </a:schemeClr>
              </a:solidFill>
            </a:rPr>
            <a:t> by Restaurant</a:t>
          </a:r>
        </a:p>
      </xdr:txBody>
    </xdr:sp>
    <xdr:clientData/>
  </xdr:twoCellAnchor>
  <xdr:twoCellAnchor>
    <xdr:from>
      <xdr:col>13</xdr:col>
      <xdr:colOff>0</xdr:colOff>
      <xdr:row>0</xdr:row>
      <xdr:rowOff>0</xdr:rowOff>
    </xdr:from>
    <xdr:to>
      <xdr:col>16</xdr:col>
      <xdr:colOff>12700</xdr:colOff>
      <xdr:row>2</xdr:row>
      <xdr:rowOff>12700</xdr:rowOff>
    </xdr:to>
    <xdr:sp macro="" textlink="">
      <xdr:nvSpPr>
        <xdr:cNvPr id="6" name="Rectangle: Rounded Corners 5">
          <a:extLst>
            <a:ext uri="{FF2B5EF4-FFF2-40B4-BE49-F238E27FC236}">
              <a16:creationId xmlns:a16="http://schemas.microsoft.com/office/drawing/2014/main" id="{A23F2B09-E4D5-4905-B64A-3A84B64ED4B1}"/>
            </a:ext>
          </a:extLst>
        </xdr:cNvPr>
        <xdr:cNvSpPr/>
      </xdr:nvSpPr>
      <xdr:spPr>
        <a:xfrm>
          <a:off x="11277600" y="0"/>
          <a:ext cx="3467100" cy="381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baseline="0">
              <a:solidFill>
                <a:schemeClr val="accent1">
                  <a:lumMod val="75000"/>
                </a:schemeClr>
              </a:solidFill>
            </a:rPr>
            <a:t>Price vs Rating</a:t>
          </a:r>
        </a:p>
      </xdr:txBody>
    </xdr:sp>
    <xdr:clientData/>
  </xdr:twoCellAnchor>
  <xdr:twoCellAnchor>
    <xdr:from>
      <xdr:col>0</xdr:col>
      <xdr:colOff>18815</xdr:colOff>
      <xdr:row>14</xdr:row>
      <xdr:rowOff>74790</xdr:rowOff>
    </xdr:from>
    <xdr:to>
      <xdr:col>3</xdr:col>
      <xdr:colOff>62716</xdr:colOff>
      <xdr:row>29</xdr:row>
      <xdr:rowOff>113360</xdr:rowOff>
    </xdr:to>
    <xdr:graphicFrame macro="">
      <xdr:nvGraphicFramePr>
        <xdr:cNvPr id="7" name="Chart 6">
          <a:extLst>
            <a:ext uri="{FF2B5EF4-FFF2-40B4-BE49-F238E27FC236}">
              <a16:creationId xmlns:a16="http://schemas.microsoft.com/office/drawing/2014/main" id="{7A3D137F-8007-1D4F-7F01-0AEE749E0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418630</xdr:colOff>
      <xdr:row>14</xdr:row>
      <xdr:rowOff>168864</xdr:rowOff>
    </xdr:from>
    <xdr:to>
      <xdr:col>9</xdr:col>
      <xdr:colOff>47037</xdr:colOff>
      <xdr:row>30</xdr:row>
      <xdr:rowOff>27126</xdr:rowOff>
    </xdr:to>
    <xdr:graphicFrame macro="">
      <xdr:nvGraphicFramePr>
        <xdr:cNvPr id="9" name="Chart 8">
          <a:extLst>
            <a:ext uri="{FF2B5EF4-FFF2-40B4-BE49-F238E27FC236}">
              <a16:creationId xmlns:a16="http://schemas.microsoft.com/office/drawing/2014/main" id="{68E127E9-86CB-F888-135F-B76F9FA51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779247</xdr:colOff>
      <xdr:row>15</xdr:row>
      <xdr:rowOff>27752</xdr:rowOff>
    </xdr:from>
    <xdr:to>
      <xdr:col>12</xdr:col>
      <xdr:colOff>321420</xdr:colOff>
      <xdr:row>30</xdr:row>
      <xdr:rowOff>66323</xdr:rowOff>
    </xdr:to>
    <xdr:graphicFrame macro="">
      <xdr:nvGraphicFramePr>
        <xdr:cNvPr id="10" name="Chart 9">
          <a:extLst>
            <a:ext uri="{FF2B5EF4-FFF2-40B4-BE49-F238E27FC236}">
              <a16:creationId xmlns:a16="http://schemas.microsoft.com/office/drawing/2014/main" id="{23787E79-950A-1FAB-304A-F908A2BB5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434309</xdr:colOff>
      <xdr:row>14</xdr:row>
      <xdr:rowOff>82629</xdr:rowOff>
    </xdr:from>
    <xdr:to>
      <xdr:col>17</xdr:col>
      <xdr:colOff>318284</xdr:colOff>
      <xdr:row>29</xdr:row>
      <xdr:rowOff>121199</xdr:rowOff>
    </xdr:to>
    <xdr:graphicFrame macro="">
      <xdr:nvGraphicFramePr>
        <xdr:cNvPr id="12" name="Chart 11">
          <a:extLst>
            <a:ext uri="{FF2B5EF4-FFF2-40B4-BE49-F238E27FC236}">
              <a16:creationId xmlns:a16="http://schemas.microsoft.com/office/drawing/2014/main" id="{5DFB3CF9-D6F7-D25C-1121-0DC89B548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332394</xdr:colOff>
      <xdr:row>16</xdr:row>
      <xdr:rowOff>19914</xdr:rowOff>
    </xdr:from>
    <xdr:to>
      <xdr:col>6</xdr:col>
      <xdr:colOff>572284</xdr:colOff>
      <xdr:row>26</xdr:row>
      <xdr:rowOff>94074</xdr:rowOff>
    </xdr:to>
    <xdr:graphicFrame macro="">
      <xdr:nvGraphicFramePr>
        <xdr:cNvPr id="13" name="Chart 12">
          <a:extLst>
            <a:ext uri="{FF2B5EF4-FFF2-40B4-BE49-F238E27FC236}">
              <a16:creationId xmlns:a16="http://schemas.microsoft.com/office/drawing/2014/main" id="{3B06C141-3A4B-BD06-8A24-4C0020496F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31358</xdr:colOff>
      <xdr:row>30</xdr:row>
      <xdr:rowOff>37080</xdr:rowOff>
    </xdr:from>
    <xdr:to>
      <xdr:col>2</xdr:col>
      <xdr:colOff>127627</xdr:colOff>
      <xdr:row>39</xdr:row>
      <xdr:rowOff>141111</xdr:rowOff>
    </xdr:to>
    <mc:AlternateContent xmlns:mc="http://schemas.openxmlformats.org/markup-compatibility/2006" xmlns:a14="http://schemas.microsoft.com/office/drawing/2010/main">
      <mc:Choice Requires="a14">
        <xdr:graphicFrame macro="">
          <xdr:nvGraphicFramePr>
            <xdr:cNvPr id="14" name="Restaurant">
              <a:extLst>
                <a:ext uri="{FF2B5EF4-FFF2-40B4-BE49-F238E27FC236}">
                  <a16:creationId xmlns:a16="http://schemas.microsoft.com/office/drawing/2014/main" id="{EF022AD8-28A6-4A90-93A0-8B1A9AF70357}"/>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31358" y="5446339"/>
              <a:ext cx="1828800" cy="17268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862423</xdr:colOff>
      <xdr:row>31</xdr:row>
      <xdr:rowOff>137034</xdr:rowOff>
    </xdr:from>
    <xdr:to>
      <xdr:col>7</xdr:col>
      <xdr:colOff>446852</xdr:colOff>
      <xdr:row>38</xdr:row>
      <xdr:rowOff>117593</xdr:rowOff>
    </xdr:to>
    <mc:AlternateContent xmlns:mc="http://schemas.openxmlformats.org/markup-compatibility/2006" xmlns:a14="http://schemas.microsoft.com/office/drawing/2010/main">
      <mc:Choice Requires="a14">
        <xdr:graphicFrame macro="">
          <xdr:nvGraphicFramePr>
            <xdr:cNvPr id="15" name="Location">
              <a:extLst>
                <a:ext uri="{FF2B5EF4-FFF2-40B4-BE49-F238E27FC236}">
                  <a16:creationId xmlns:a16="http://schemas.microsoft.com/office/drawing/2014/main" id="{1E1221AD-520C-B53E-0988-689B5645345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4335324" y="5726602"/>
              <a:ext cx="2242022" cy="1242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460650</xdr:colOff>
      <xdr:row>31</xdr:row>
      <xdr:rowOff>41000</xdr:rowOff>
    </xdr:from>
    <xdr:to>
      <xdr:col>4</xdr:col>
      <xdr:colOff>549080</xdr:colOff>
      <xdr:row>36</xdr:row>
      <xdr:rowOff>94074</xdr:rowOff>
    </xdr:to>
    <mc:AlternateContent xmlns:mc="http://schemas.openxmlformats.org/markup-compatibility/2006" xmlns:a14="http://schemas.microsoft.com/office/drawing/2010/main">
      <mc:Choice Requires="a14">
        <xdr:graphicFrame macro="">
          <xdr:nvGraphicFramePr>
            <xdr:cNvPr id="16" name="Veg_or_NonVeg">
              <a:extLst>
                <a:ext uri="{FF2B5EF4-FFF2-40B4-BE49-F238E27FC236}">
                  <a16:creationId xmlns:a16="http://schemas.microsoft.com/office/drawing/2014/main" id="{2157DB32-52F8-AD21-C286-2C1625C66BC7}"/>
                </a:ext>
              </a:extLst>
            </xdr:cNvPr>
            <xdr:cNvGraphicFramePr/>
          </xdr:nvGraphicFramePr>
          <xdr:xfrm>
            <a:off x="0" y="0"/>
            <a:ext cx="0" cy="0"/>
          </xdr:xfrm>
          <a:graphic>
            <a:graphicData uri="http://schemas.microsoft.com/office/drawing/2010/slicer">
              <sle:slicer xmlns:sle="http://schemas.microsoft.com/office/drawing/2010/slicer" name="Veg_or_NonVeg"/>
            </a:graphicData>
          </a:graphic>
        </xdr:graphicFrame>
      </mc:Choice>
      <mc:Fallback xmlns="">
        <xdr:sp macro="" textlink="">
          <xdr:nvSpPr>
            <xdr:cNvPr id="0" name=""/>
            <xdr:cNvSpPr>
              <a:spLocks noTextEdit="1"/>
            </xdr:cNvSpPr>
          </xdr:nvSpPr>
          <xdr:spPr>
            <a:xfrm>
              <a:off x="2193181" y="5630568"/>
              <a:ext cx="1828800" cy="954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31750</xdr:colOff>
      <xdr:row>0</xdr:row>
      <xdr:rowOff>38100</xdr:rowOff>
    </xdr:from>
    <xdr:to>
      <xdr:col>24</xdr:col>
      <xdr:colOff>262283</xdr:colOff>
      <xdr:row>4</xdr:row>
      <xdr:rowOff>25400</xdr:rowOff>
    </xdr:to>
    <xdr:sp macro="" textlink="">
      <xdr:nvSpPr>
        <xdr:cNvPr id="2" name="Rectangle: Rounded Corners 1">
          <a:extLst>
            <a:ext uri="{FF2B5EF4-FFF2-40B4-BE49-F238E27FC236}">
              <a16:creationId xmlns:a16="http://schemas.microsoft.com/office/drawing/2014/main" id="{F51F40DF-9681-E4C4-632A-F0FFA591F00A}"/>
            </a:ext>
          </a:extLst>
        </xdr:cNvPr>
        <xdr:cNvSpPr/>
      </xdr:nvSpPr>
      <xdr:spPr>
        <a:xfrm>
          <a:off x="31750" y="38100"/>
          <a:ext cx="14807924" cy="70512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12700</xdr:colOff>
      <xdr:row>4</xdr:row>
      <xdr:rowOff>88900</xdr:rowOff>
    </xdr:from>
    <xdr:to>
      <xdr:col>2</xdr:col>
      <xdr:colOff>450850</xdr:colOff>
      <xdr:row>8</xdr:row>
      <xdr:rowOff>76200</xdr:rowOff>
    </xdr:to>
    <xdr:sp macro="" textlink="">
      <xdr:nvSpPr>
        <xdr:cNvPr id="3" name="Rectangle: Rounded Corners 2">
          <a:extLst>
            <a:ext uri="{FF2B5EF4-FFF2-40B4-BE49-F238E27FC236}">
              <a16:creationId xmlns:a16="http://schemas.microsoft.com/office/drawing/2014/main" id="{2309877E-19C7-41AF-84A9-CE2E7A82E604}"/>
            </a:ext>
          </a:extLst>
        </xdr:cNvPr>
        <xdr:cNvSpPr/>
      </xdr:nvSpPr>
      <xdr:spPr>
        <a:xfrm>
          <a:off x="12700" y="825500"/>
          <a:ext cx="1657350" cy="7239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75000"/>
                </a:schemeClr>
              </a:solidFill>
            </a:rPr>
            <a:t>  </a:t>
          </a:r>
          <a:r>
            <a:rPr lang="en-IN" sz="1100" b="1" baseline="0">
              <a:solidFill>
                <a:schemeClr val="accent1">
                  <a:lumMod val="75000"/>
                </a:schemeClr>
              </a:solidFill>
            </a:rPr>
            <a:t>     </a:t>
          </a:r>
          <a:r>
            <a:rPr lang="en-IN" sz="1100" b="1">
              <a:solidFill>
                <a:schemeClr val="accent1">
                  <a:lumMod val="75000"/>
                </a:schemeClr>
              </a:solidFill>
            </a:rPr>
            <a:t>Total Sale</a:t>
          </a:r>
        </a:p>
      </xdr:txBody>
    </xdr:sp>
    <xdr:clientData/>
  </xdr:twoCellAnchor>
  <xdr:twoCellAnchor>
    <xdr:from>
      <xdr:col>2</xdr:col>
      <xdr:colOff>603250</xdr:colOff>
      <xdr:row>4</xdr:row>
      <xdr:rowOff>88900</xdr:rowOff>
    </xdr:from>
    <xdr:to>
      <xdr:col>5</xdr:col>
      <xdr:colOff>431800</xdr:colOff>
      <xdr:row>8</xdr:row>
      <xdr:rowOff>76200</xdr:rowOff>
    </xdr:to>
    <xdr:sp macro="" textlink="">
      <xdr:nvSpPr>
        <xdr:cNvPr id="4" name="Rectangle: Rounded Corners 3">
          <a:extLst>
            <a:ext uri="{FF2B5EF4-FFF2-40B4-BE49-F238E27FC236}">
              <a16:creationId xmlns:a16="http://schemas.microsoft.com/office/drawing/2014/main" id="{760A1D29-E787-8698-FD4E-155D30EB551F}"/>
            </a:ext>
          </a:extLst>
        </xdr:cNvPr>
        <xdr:cNvSpPr/>
      </xdr:nvSpPr>
      <xdr:spPr>
        <a:xfrm>
          <a:off x="1822450" y="825500"/>
          <a:ext cx="1657350" cy="7239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6350</xdr:colOff>
      <xdr:row>4</xdr:row>
      <xdr:rowOff>88900</xdr:rowOff>
    </xdr:from>
    <xdr:to>
      <xdr:col>8</xdr:col>
      <xdr:colOff>444500</xdr:colOff>
      <xdr:row>8</xdr:row>
      <xdr:rowOff>76200</xdr:rowOff>
    </xdr:to>
    <xdr:sp macro="" textlink="">
      <xdr:nvSpPr>
        <xdr:cNvPr id="5" name="Rectangle: Rounded Corners 4">
          <a:extLst>
            <a:ext uri="{FF2B5EF4-FFF2-40B4-BE49-F238E27FC236}">
              <a16:creationId xmlns:a16="http://schemas.microsoft.com/office/drawing/2014/main" id="{C536EA2D-C991-6636-20D2-0CFB93FE8928}"/>
            </a:ext>
          </a:extLst>
        </xdr:cNvPr>
        <xdr:cNvSpPr/>
      </xdr:nvSpPr>
      <xdr:spPr>
        <a:xfrm>
          <a:off x="3663950" y="825500"/>
          <a:ext cx="1657350" cy="7239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5</xdr:row>
      <xdr:rowOff>6350</xdr:rowOff>
    </xdr:from>
    <xdr:to>
      <xdr:col>0</xdr:col>
      <xdr:colOff>501650</xdr:colOff>
      <xdr:row>8</xdr:row>
      <xdr:rowOff>6350</xdr:rowOff>
    </xdr:to>
    <xdr:sp macro="" textlink="">
      <xdr:nvSpPr>
        <xdr:cNvPr id="7" name="Rectangle: Rounded Corners 6">
          <a:extLst>
            <a:ext uri="{FF2B5EF4-FFF2-40B4-BE49-F238E27FC236}">
              <a16:creationId xmlns:a16="http://schemas.microsoft.com/office/drawing/2014/main" id="{DED1F650-0E1E-7B49-F389-440E354B6042}"/>
            </a:ext>
          </a:extLst>
        </xdr:cNvPr>
        <xdr:cNvSpPr/>
      </xdr:nvSpPr>
      <xdr:spPr>
        <a:xfrm>
          <a:off x="152400" y="919163"/>
          <a:ext cx="349250" cy="5476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158750</xdr:colOff>
      <xdr:row>5</xdr:row>
      <xdr:rowOff>0</xdr:rowOff>
    </xdr:from>
    <xdr:to>
      <xdr:col>3</xdr:col>
      <xdr:colOff>508000</xdr:colOff>
      <xdr:row>8</xdr:row>
      <xdr:rowOff>0</xdr:rowOff>
    </xdr:to>
    <xdr:sp macro="" textlink="">
      <xdr:nvSpPr>
        <xdr:cNvPr id="8" name="Rectangle: Rounded Corners 7">
          <a:extLst>
            <a:ext uri="{FF2B5EF4-FFF2-40B4-BE49-F238E27FC236}">
              <a16:creationId xmlns:a16="http://schemas.microsoft.com/office/drawing/2014/main" id="{AC5119FE-6C72-4C78-AF80-312E3D19C9F7}"/>
            </a:ext>
          </a:extLst>
        </xdr:cNvPr>
        <xdr:cNvSpPr/>
      </xdr:nvSpPr>
      <xdr:spPr>
        <a:xfrm>
          <a:off x="1987550" y="920750"/>
          <a:ext cx="349250"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152400</xdr:colOff>
      <xdr:row>4</xdr:row>
      <xdr:rowOff>177800</xdr:rowOff>
    </xdr:from>
    <xdr:to>
      <xdr:col>6</xdr:col>
      <xdr:colOff>501650</xdr:colOff>
      <xdr:row>7</xdr:row>
      <xdr:rowOff>177800</xdr:rowOff>
    </xdr:to>
    <xdr:sp macro="" textlink="">
      <xdr:nvSpPr>
        <xdr:cNvPr id="9" name="Rectangle: Rounded Corners 8">
          <a:extLst>
            <a:ext uri="{FF2B5EF4-FFF2-40B4-BE49-F238E27FC236}">
              <a16:creationId xmlns:a16="http://schemas.microsoft.com/office/drawing/2014/main" id="{89D96DF1-14F6-431B-95B8-6ADE9C530793}"/>
            </a:ext>
          </a:extLst>
        </xdr:cNvPr>
        <xdr:cNvSpPr/>
      </xdr:nvSpPr>
      <xdr:spPr>
        <a:xfrm>
          <a:off x="3810000" y="914400"/>
          <a:ext cx="349250"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520700</xdr:colOff>
      <xdr:row>6</xdr:row>
      <xdr:rowOff>0</xdr:rowOff>
    </xdr:from>
    <xdr:ext cx="859274" cy="264560"/>
    <xdr:sp macro="" textlink="Data!H3">
      <xdr:nvSpPr>
        <xdr:cNvPr id="10" name="TextBox 9">
          <a:extLst>
            <a:ext uri="{FF2B5EF4-FFF2-40B4-BE49-F238E27FC236}">
              <a16:creationId xmlns:a16="http://schemas.microsoft.com/office/drawing/2014/main" id="{E40732B5-DE45-EA23-26E1-5EB6981F5A8E}"/>
            </a:ext>
          </a:extLst>
        </xdr:cNvPr>
        <xdr:cNvSpPr txBox="1"/>
      </xdr:nvSpPr>
      <xdr:spPr>
        <a:xfrm>
          <a:off x="520700" y="1104900"/>
          <a:ext cx="85927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3A80BE2-3517-4C5A-A6DF-5F2216AE37B1}" type="TxLink">
            <a:rPr lang="en-US" sz="1100" b="0" i="0" u="none" strike="noStrike">
              <a:solidFill>
                <a:schemeClr val="accent1"/>
              </a:solidFill>
              <a:latin typeface="Calibri"/>
              <a:ea typeface="Calibri"/>
              <a:cs typeface="Calibri"/>
            </a:rPr>
            <a:pPr/>
            <a:t>₹ 74,350.00</a:t>
          </a:fld>
          <a:endParaRPr lang="en-IN" sz="1100">
            <a:solidFill>
              <a:schemeClr val="accent1"/>
            </a:solidFill>
          </a:endParaRPr>
        </a:p>
      </xdr:txBody>
    </xdr:sp>
    <xdr:clientData/>
  </xdr:oneCellAnchor>
  <xdr:twoCellAnchor>
    <xdr:from>
      <xdr:col>4</xdr:col>
      <xdr:colOff>0</xdr:colOff>
      <xdr:row>4</xdr:row>
      <xdr:rowOff>127000</xdr:rowOff>
    </xdr:from>
    <xdr:to>
      <xdr:col>5</xdr:col>
      <xdr:colOff>184150</xdr:colOff>
      <xdr:row>6</xdr:row>
      <xdr:rowOff>19050</xdr:rowOff>
    </xdr:to>
    <xdr:sp macro="" textlink="">
      <xdr:nvSpPr>
        <xdr:cNvPr id="12" name="TextBox 11">
          <a:extLst>
            <a:ext uri="{FF2B5EF4-FFF2-40B4-BE49-F238E27FC236}">
              <a16:creationId xmlns:a16="http://schemas.microsoft.com/office/drawing/2014/main" id="{DCB341E8-0760-77BC-6FF8-7F88DCDA14EB}"/>
            </a:ext>
          </a:extLst>
        </xdr:cNvPr>
        <xdr:cNvSpPr txBox="1"/>
      </xdr:nvSpPr>
      <xdr:spPr>
        <a:xfrm>
          <a:off x="2438400" y="863600"/>
          <a:ext cx="793750" cy="2603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2">
                  <a:lumMod val="75000"/>
                </a:schemeClr>
              </a:solidFill>
            </a:rPr>
            <a:t>Avg Price</a:t>
          </a:r>
        </a:p>
      </xdr:txBody>
    </xdr:sp>
    <xdr:clientData/>
  </xdr:twoCellAnchor>
  <xdr:twoCellAnchor>
    <xdr:from>
      <xdr:col>4</xdr:col>
      <xdr:colOff>57150</xdr:colOff>
      <xdr:row>5</xdr:row>
      <xdr:rowOff>165100</xdr:rowOff>
    </xdr:from>
    <xdr:to>
      <xdr:col>5</xdr:col>
      <xdr:colOff>146050</xdr:colOff>
      <xdr:row>7</xdr:row>
      <xdr:rowOff>134619</xdr:rowOff>
    </xdr:to>
    <xdr:sp macro="" textlink="Data!H5">
      <xdr:nvSpPr>
        <xdr:cNvPr id="14" name="TextBox 13">
          <a:extLst>
            <a:ext uri="{FF2B5EF4-FFF2-40B4-BE49-F238E27FC236}">
              <a16:creationId xmlns:a16="http://schemas.microsoft.com/office/drawing/2014/main" id="{6D7CD641-4BA2-D38D-503B-5E7A537B602C}"/>
            </a:ext>
          </a:extLst>
        </xdr:cNvPr>
        <xdr:cNvSpPr txBox="1"/>
      </xdr:nvSpPr>
      <xdr:spPr>
        <a:xfrm>
          <a:off x="2495550" y="1085850"/>
          <a:ext cx="698500" cy="3378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4BC653-2872-4855-BE92-05E8AB3B4B4E}" type="TxLink">
            <a:rPr lang="en-US" sz="1100" b="0" i="0" u="none" strike="noStrike">
              <a:solidFill>
                <a:schemeClr val="accent1"/>
              </a:solidFill>
              <a:latin typeface="Calibri"/>
              <a:ea typeface="Calibri"/>
              <a:cs typeface="Calibri"/>
            </a:rPr>
            <a:pPr/>
            <a:t>₹ 862.50</a:t>
          </a:fld>
          <a:endParaRPr lang="en-IN" sz="1100">
            <a:solidFill>
              <a:schemeClr val="accent1"/>
            </a:solidFill>
          </a:endParaRPr>
        </a:p>
      </xdr:txBody>
    </xdr:sp>
    <xdr:clientData/>
  </xdr:twoCellAnchor>
  <xdr:twoCellAnchor>
    <xdr:from>
      <xdr:col>6</xdr:col>
      <xdr:colOff>571500</xdr:colOff>
      <xdr:row>4</xdr:row>
      <xdr:rowOff>158750</xdr:rowOff>
    </xdr:from>
    <xdr:to>
      <xdr:col>8</xdr:col>
      <xdr:colOff>400050</xdr:colOff>
      <xdr:row>6</xdr:row>
      <xdr:rowOff>12700</xdr:rowOff>
    </xdr:to>
    <xdr:sp macro="" textlink="">
      <xdr:nvSpPr>
        <xdr:cNvPr id="15" name="TextBox 14">
          <a:extLst>
            <a:ext uri="{FF2B5EF4-FFF2-40B4-BE49-F238E27FC236}">
              <a16:creationId xmlns:a16="http://schemas.microsoft.com/office/drawing/2014/main" id="{C97079CE-CAFD-D3F8-70FA-7F2F463DA05E}"/>
            </a:ext>
          </a:extLst>
        </xdr:cNvPr>
        <xdr:cNvSpPr txBox="1"/>
      </xdr:nvSpPr>
      <xdr:spPr>
        <a:xfrm>
          <a:off x="4229100" y="895350"/>
          <a:ext cx="1047750" cy="222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2">
                  <a:lumMod val="75000"/>
                </a:schemeClr>
              </a:solidFill>
            </a:rPr>
            <a:t>Avg Rating</a:t>
          </a:r>
        </a:p>
      </xdr:txBody>
    </xdr:sp>
    <xdr:clientData/>
  </xdr:twoCellAnchor>
  <xdr:twoCellAnchor>
    <xdr:from>
      <xdr:col>7</xdr:col>
      <xdr:colOff>120650</xdr:colOff>
      <xdr:row>6</xdr:row>
      <xdr:rowOff>50800</xdr:rowOff>
    </xdr:from>
    <xdr:to>
      <xdr:col>8</xdr:col>
      <xdr:colOff>273050</xdr:colOff>
      <xdr:row>8</xdr:row>
      <xdr:rowOff>0</xdr:rowOff>
    </xdr:to>
    <xdr:sp macro="" textlink="Data!H7">
      <xdr:nvSpPr>
        <xdr:cNvPr id="16" name="TextBox 15">
          <a:extLst>
            <a:ext uri="{FF2B5EF4-FFF2-40B4-BE49-F238E27FC236}">
              <a16:creationId xmlns:a16="http://schemas.microsoft.com/office/drawing/2014/main" id="{A76B82F2-EB95-BD51-64CF-E42A8F49ECFC}"/>
            </a:ext>
          </a:extLst>
        </xdr:cNvPr>
        <xdr:cNvSpPr txBox="1"/>
      </xdr:nvSpPr>
      <xdr:spPr>
        <a:xfrm>
          <a:off x="4387850" y="1155700"/>
          <a:ext cx="76200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25988E-DE60-40DC-A112-9AAE2CA204D7}" type="TxLink">
            <a:rPr lang="en-US" sz="1100" b="0" i="0" u="none" strike="noStrike">
              <a:solidFill>
                <a:schemeClr val="accent1"/>
              </a:solidFill>
              <a:latin typeface="Calibri"/>
              <a:ea typeface="Calibri"/>
              <a:cs typeface="Calibri"/>
            </a:rPr>
            <a:pPr/>
            <a:t>3.98</a:t>
          </a:fld>
          <a:endParaRPr lang="en-IN" sz="1100">
            <a:solidFill>
              <a:schemeClr val="accent1"/>
            </a:solidFill>
          </a:endParaRPr>
        </a:p>
      </xdr:txBody>
    </xdr:sp>
    <xdr:clientData/>
  </xdr:twoCellAnchor>
  <xdr:twoCellAnchor editAs="oneCell">
    <xdr:from>
      <xdr:col>0</xdr:col>
      <xdr:colOff>0</xdr:colOff>
      <xdr:row>8</xdr:row>
      <xdr:rowOff>133350</xdr:rowOff>
    </xdr:from>
    <xdr:to>
      <xdr:col>4</xdr:col>
      <xdr:colOff>558800</xdr:colOff>
      <xdr:row>18</xdr:row>
      <xdr:rowOff>2165</xdr:rowOff>
    </xdr:to>
    <mc:AlternateContent xmlns:mc="http://schemas.openxmlformats.org/markup-compatibility/2006" xmlns:a14="http://schemas.microsoft.com/office/drawing/2010/main">
      <mc:Choice Requires="a14">
        <xdr:graphicFrame macro="">
          <xdr:nvGraphicFramePr>
            <xdr:cNvPr id="18" name="Restaurant 1">
              <a:extLst>
                <a:ext uri="{FF2B5EF4-FFF2-40B4-BE49-F238E27FC236}">
                  <a16:creationId xmlns:a16="http://schemas.microsoft.com/office/drawing/2014/main" id="{50107DE5-8AD0-43C2-95D6-1B9B16653C2C}"/>
                </a:ext>
              </a:extLst>
            </xdr:cNvPr>
            <xdr:cNvGraphicFramePr/>
          </xdr:nvGraphicFramePr>
          <xdr:xfrm>
            <a:off x="0" y="0"/>
            <a:ext cx="0" cy="0"/>
          </xdr:xfrm>
          <a:graphic>
            <a:graphicData uri="http://schemas.microsoft.com/office/drawing/2010/slicer">
              <sle:slicer xmlns:sle="http://schemas.microsoft.com/office/drawing/2010/slicer" name="Restaurant 1"/>
            </a:graphicData>
          </a:graphic>
        </xdr:graphicFrame>
      </mc:Choice>
      <mc:Fallback xmlns="">
        <xdr:sp macro="" textlink="">
          <xdr:nvSpPr>
            <xdr:cNvPr id="0" name=""/>
            <xdr:cNvSpPr>
              <a:spLocks noTextEdit="1"/>
            </xdr:cNvSpPr>
          </xdr:nvSpPr>
          <xdr:spPr>
            <a:xfrm>
              <a:off x="0" y="1593850"/>
              <a:ext cx="3003550" cy="17103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520700</xdr:colOff>
      <xdr:row>4</xdr:row>
      <xdr:rowOff>95250</xdr:rowOff>
    </xdr:from>
    <xdr:to>
      <xdr:col>12</xdr:col>
      <xdr:colOff>254000</xdr:colOff>
      <xdr:row>9</xdr:row>
      <xdr:rowOff>129117</xdr:rowOff>
    </xdr:to>
    <mc:AlternateContent xmlns:mc="http://schemas.openxmlformats.org/markup-compatibility/2006" xmlns:a14="http://schemas.microsoft.com/office/drawing/2010/main">
      <mc:Choice Requires="a14">
        <xdr:graphicFrame macro="">
          <xdr:nvGraphicFramePr>
            <xdr:cNvPr id="19" name="Veg_or_NonVeg 1">
              <a:extLst>
                <a:ext uri="{FF2B5EF4-FFF2-40B4-BE49-F238E27FC236}">
                  <a16:creationId xmlns:a16="http://schemas.microsoft.com/office/drawing/2014/main" id="{9A06F139-33DF-48A6-BCAB-CCE56B1CF02A}"/>
                </a:ext>
              </a:extLst>
            </xdr:cNvPr>
            <xdr:cNvGraphicFramePr/>
          </xdr:nvGraphicFramePr>
          <xdr:xfrm>
            <a:off x="0" y="0"/>
            <a:ext cx="0" cy="0"/>
          </xdr:xfrm>
          <a:graphic>
            <a:graphicData uri="http://schemas.microsoft.com/office/drawing/2010/slicer">
              <sle:slicer xmlns:sle="http://schemas.microsoft.com/office/drawing/2010/slicer" name="Veg_or_NonVeg 1"/>
            </a:graphicData>
          </a:graphic>
        </xdr:graphicFrame>
      </mc:Choice>
      <mc:Fallback xmlns="">
        <xdr:sp macro="" textlink="">
          <xdr:nvSpPr>
            <xdr:cNvPr id="0" name=""/>
            <xdr:cNvSpPr>
              <a:spLocks noTextEdit="1"/>
            </xdr:cNvSpPr>
          </xdr:nvSpPr>
          <xdr:spPr>
            <a:xfrm>
              <a:off x="5410200" y="825500"/>
              <a:ext cx="2178050" cy="946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82550</xdr:colOff>
      <xdr:row>18</xdr:row>
      <xdr:rowOff>0</xdr:rowOff>
    </xdr:from>
    <xdr:to>
      <xdr:col>4</xdr:col>
      <xdr:colOff>546100</xdr:colOff>
      <xdr:row>24</xdr:row>
      <xdr:rowOff>137820</xdr:rowOff>
    </xdr:to>
    <mc:AlternateContent xmlns:mc="http://schemas.openxmlformats.org/markup-compatibility/2006" xmlns:a14="http://schemas.microsoft.com/office/drawing/2010/main">
      <mc:Choice Requires="a14">
        <xdr:graphicFrame macro="">
          <xdr:nvGraphicFramePr>
            <xdr:cNvPr id="20" name="Location 1">
              <a:extLst>
                <a:ext uri="{FF2B5EF4-FFF2-40B4-BE49-F238E27FC236}">
                  <a16:creationId xmlns:a16="http://schemas.microsoft.com/office/drawing/2014/main" id="{67012FCC-1A4D-431E-9244-C9DC9EC1D93D}"/>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82550" y="3302000"/>
              <a:ext cx="2908300" cy="1233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220930</xdr:colOff>
      <xdr:row>9</xdr:row>
      <xdr:rowOff>79334</xdr:rowOff>
    </xdr:from>
    <xdr:to>
      <xdr:col>10</xdr:col>
      <xdr:colOff>366980</xdr:colOff>
      <xdr:row>23</xdr:row>
      <xdr:rowOff>5856</xdr:rowOff>
    </xdr:to>
    <xdr:grpSp>
      <xdr:nvGrpSpPr>
        <xdr:cNvPr id="28" name="Group 27">
          <a:extLst>
            <a:ext uri="{FF2B5EF4-FFF2-40B4-BE49-F238E27FC236}">
              <a16:creationId xmlns:a16="http://schemas.microsoft.com/office/drawing/2014/main" id="{A9AE291C-DBD7-B127-5E3B-E51F1DCD256C}"/>
            </a:ext>
          </a:extLst>
        </xdr:cNvPr>
        <xdr:cNvGrpSpPr/>
      </xdr:nvGrpSpPr>
      <xdr:grpSpPr>
        <a:xfrm>
          <a:off x="3276868" y="1722397"/>
          <a:ext cx="3201987" cy="2498272"/>
          <a:chOff x="3272229" y="1712191"/>
          <a:chExt cx="3197348" cy="2466522"/>
        </a:xfrm>
      </xdr:grpSpPr>
      <xdr:graphicFrame macro="">
        <xdr:nvGraphicFramePr>
          <xdr:cNvPr id="17" name="Chart 16">
            <a:extLst>
              <a:ext uri="{FF2B5EF4-FFF2-40B4-BE49-F238E27FC236}">
                <a16:creationId xmlns:a16="http://schemas.microsoft.com/office/drawing/2014/main" id="{C404D6E6-34EA-4782-94E0-6FBBB7C88DE4}"/>
              </a:ext>
            </a:extLst>
          </xdr:cNvPr>
          <xdr:cNvGraphicFramePr>
            <a:graphicFrameLocks/>
          </xdr:cNvGraphicFramePr>
        </xdr:nvGraphicFramePr>
        <xdr:xfrm>
          <a:off x="3435433" y="2121259"/>
          <a:ext cx="2806706" cy="1850033"/>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27" name="Group 26">
            <a:extLst>
              <a:ext uri="{FF2B5EF4-FFF2-40B4-BE49-F238E27FC236}">
                <a16:creationId xmlns:a16="http://schemas.microsoft.com/office/drawing/2014/main" id="{A9A4DA19-7779-DE56-E598-ECE1FC6B0D10}"/>
              </a:ext>
            </a:extLst>
          </xdr:cNvPr>
          <xdr:cNvGrpSpPr/>
        </xdr:nvGrpSpPr>
        <xdr:grpSpPr>
          <a:xfrm>
            <a:off x="3272229" y="1712191"/>
            <a:ext cx="3197348" cy="2466522"/>
            <a:chOff x="3222749" y="1670957"/>
            <a:chExt cx="3197348" cy="2466522"/>
          </a:xfrm>
        </xdr:grpSpPr>
        <xdr:sp macro="" textlink="">
          <xdr:nvSpPr>
            <xdr:cNvPr id="21" name="Rectangle: Rounded Corners 20">
              <a:extLst>
                <a:ext uri="{FF2B5EF4-FFF2-40B4-BE49-F238E27FC236}">
                  <a16:creationId xmlns:a16="http://schemas.microsoft.com/office/drawing/2014/main" id="{F6DD9680-7193-04EB-5E7A-DBEB79F4F563}"/>
                </a:ext>
              </a:extLst>
            </xdr:cNvPr>
            <xdr:cNvSpPr/>
          </xdr:nvSpPr>
          <xdr:spPr>
            <a:xfrm>
              <a:off x="3222749" y="1670957"/>
              <a:ext cx="3197348" cy="246652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2AFFE5E9-5A31-E55C-9C2B-7E20F917E6F8}"/>
                </a:ext>
              </a:extLst>
            </xdr:cNvPr>
            <xdr:cNvSpPr txBox="1"/>
          </xdr:nvSpPr>
          <xdr:spPr>
            <a:xfrm>
              <a:off x="3470399" y="1759857"/>
              <a:ext cx="171822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tx1"/>
                  </a:solidFill>
                  <a:effectLst/>
                  <a:latin typeface="+mn-lt"/>
                  <a:ea typeface="+mn-ea"/>
                  <a:cs typeface="+mn-cs"/>
                </a:rPr>
                <a:t>Popular</a:t>
              </a:r>
              <a:r>
                <a:rPr lang="en-IN" sz="1100" b="1" baseline="0">
                  <a:solidFill>
                    <a:schemeClr val="tx1"/>
                  </a:solidFill>
                  <a:effectLst/>
                  <a:latin typeface="+mn-lt"/>
                  <a:ea typeface="+mn-ea"/>
                  <a:cs typeface="+mn-cs"/>
                </a:rPr>
                <a:t> cuisines by Rating</a:t>
              </a:r>
              <a:endParaRPr lang="en-IN">
                <a:effectLst/>
              </a:endParaRPr>
            </a:p>
          </xdr:txBody>
        </xdr:sp>
      </xdr:grpSp>
    </xdr:grpSp>
    <xdr:clientData/>
  </xdr:twoCellAnchor>
  <xdr:twoCellAnchor>
    <xdr:from>
      <xdr:col>10</xdr:col>
      <xdr:colOff>505279</xdr:colOff>
      <xdr:row>9</xdr:row>
      <xdr:rowOff>88818</xdr:rowOff>
    </xdr:from>
    <xdr:to>
      <xdr:col>16</xdr:col>
      <xdr:colOff>41068</xdr:colOff>
      <xdr:row>23</xdr:row>
      <xdr:rowOff>15339</xdr:rowOff>
    </xdr:to>
    <xdr:grpSp>
      <xdr:nvGrpSpPr>
        <xdr:cNvPr id="26" name="Group 25">
          <a:extLst>
            <a:ext uri="{FF2B5EF4-FFF2-40B4-BE49-F238E27FC236}">
              <a16:creationId xmlns:a16="http://schemas.microsoft.com/office/drawing/2014/main" id="{A4A77E96-418E-B806-B89C-AAB3895FD025}"/>
            </a:ext>
          </a:extLst>
        </xdr:cNvPr>
        <xdr:cNvGrpSpPr/>
      </xdr:nvGrpSpPr>
      <xdr:grpSpPr>
        <a:xfrm>
          <a:off x="6617154" y="1731881"/>
          <a:ext cx="3202914" cy="2498271"/>
          <a:chOff x="6607876" y="1721675"/>
          <a:chExt cx="3197348" cy="2466521"/>
        </a:xfrm>
      </xdr:grpSpPr>
      <xdr:sp macro="" textlink="">
        <xdr:nvSpPr>
          <xdr:cNvPr id="23" name="Rectangle: Rounded Corners 22">
            <a:extLst>
              <a:ext uri="{FF2B5EF4-FFF2-40B4-BE49-F238E27FC236}">
                <a16:creationId xmlns:a16="http://schemas.microsoft.com/office/drawing/2014/main" id="{B690A21A-DA29-4415-98C6-F74B667B14C4}"/>
              </a:ext>
            </a:extLst>
          </xdr:cNvPr>
          <xdr:cNvSpPr/>
        </xdr:nvSpPr>
        <xdr:spPr>
          <a:xfrm>
            <a:off x="6607876" y="1721675"/>
            <a:ext cx="3197348" cy="246652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4" name="Picture 23">
            <a:extLst>
              <a:ext uri="{FF2B5EF4-FFF2-40B4-BE49-F238E27FC236}">
                <a16:creationId xmlns:a16="http://schemas.microsoft.com/office/drawing/2014/main" id="{F7421674-BC54-6FA0-EAB8-498126E2BB62}"/>
              </a:ext>
            </a:extLst>
          </xdr:cNvPr>
          <xdr:cNvPicPr>
            <a:picLocks noChangeAspect="1"/>
          </xdr:cNvPicPr>
        </xdr:nvPicPr>
        <xdr:blipFill>
          <a:blip xmlns:r="http://schemas.openxmlformats.org/officeDocument/2006/relationships" r:embed="rId2"/>
          <a:stretch>
            <a:fillRect/>
          </a:stretch>
        </xdr:blipFill>
        <xdr:spPr>
          <a:xfrm>
            <a:off x="6789305" y="1828882"/>
            <a:ext cx="2377646" cy="335309"/>
          </a:xfrm>
          <a:prstGeom prst="rect">
            <a:avLst/>
          </a:prstGeom>
        </xdr:spPr>
      </xdr:pic>
      <xdr:graphicFrame macro="">
        <xdr:nvGraphicFramePr>
          <xdr:cNvPr id="25" name="Chart 24">
            <a:extLst>
              <a:ext uri="{FF2B5EF4-FFF2-40B4-BE49-F238E27FC236}">
                <a16:creationId xmlns:a16="http://schemas.microsoft.com/office/drawing/2014/main" id="{CFC6486D-620A-4E6A-AC8A-EC50B3C2805B}"/>
              </a:ext>
            </a:extLst>
          </xdr:cNvPr>
          <xdr:cNvGraphicFramePr>
            <a:graphicFrameLocks/>
          </xdr:cNvGraphicFramePr>
        </xdr:nvGraphicFramePr>
        <xdr:xfrm>
          <a:off x="6830539" y="2059791"/>
          <a:ext cx="2779889" cy="1939884"/>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5</xdr:col>
      <xdr:colOff>239156</xdr:colOff>
      <xdr:row>23</xdr:row>
      <xdr:rowOff>90714</xdr:rowOff>
    </xdr:from>
    <xdr:to>
      <xdr:col>10</xdr:col>
      <xdr:colOff>385206</xdr:colOff>
      <xdr:row>37</xdr:row>
      <xdr:rowOff>17236</xdr:rowOff>
    </xdr:to>
    <xdr:sp macro="" textlink="">
      <xdr:nvSpPr>
        <xdr:cNvPr id="30" name="Rectangle: Rounded Corners 29">
          <a:extLst>
            <a:ext uri="{FF2B5EF4-FFF2-40B4-BE49-F238E27FC236}">
              <a16:creationId xmlns:a16="http://schemas.microsoft.com/office/drawing/2014/main" id="{0DFE7425-8547-462A-A047-9D9A2C03B116}"/>
            </a:ext>
          </a:extLst>
        </xdr:cNvPr>
        <xdr:cNvSpPr/>
      </xdr:nvSpPr>
      <xdr:spPr>
        <a:xfrm>
          <a:off x="3290455" y="4263571"/>
          <a:ext cx="3197348" cy="246652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445325</xdr:colOff>
      <xdr:row>25</xdr:row>
      <xdr:rowOff>115455</xdr:rowOff>
    </xdr:from>
    <xdr:to>
      <xdr:col>10</xdr:col>
      <xdr:colOff>148442</xdr:colOff>
      <xdr:row>35</xdr:row>
      <xdr:rowOff>173182</xdr:rowOff>
    </xdr:to>
    <xdr:graphicFrame macro="">
      <xdr:nvGraphicFramePr>
        <xdr:cNvPr id="31" name="Chart 30">
          <a:extLst>
            <a:ext uri="{FF2B5EF4-FFF2-40B4-BE49-F238E27FC236}">
              <a16:creationId xmlns:a16="http://schemas.microsoft.com/office/drawing/2014/main" id="{42E64FA3-161D-4113-8D8F-8442AAD33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503053</xdr:colOff>
      <xdr:row>23</xdr:row>
      <xdr:rowOff>74221</xdr:rowOff>
    </xdr:from>
    <xdr:to>
      <xdr:col>16</xdr:col>
      <xdr:colOff>38842</xdr:colOff>
      <xdr:row>37</xdr:row>
      <xdr:rowOff>743</xdr:rowOff>
    </xdr:to>
    <xdr:sp macro="" textlink="">
      <xdr:nvSpPr>
        <xdr:cNvPr id="32" name="Rectangle: Rounded Corners 31">
          <a:extLst>
            <a:ext uri="{FF2B5EF4-FFF2-40B4-BE49-F238E27FC236}">
              <a16:creationId xmlns:a16="http://schemas.microsoft.com/office/drawing/2014/main" id="{6E35508B-DED5-4C04-B230-AA96B1D77802}"/>
            </a:ext>
          </a:extLst>
        </xdr:cNvPr>
        <xdr:cNvSpPr/>
      </xdr:nvSpPr>
      <xdr:spPr>
        <a:xfrm>
          <a:off x="6605650" y="4247078"/>
          <a:ext cx="3197348" cy="248301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49481</xdr:colOff>
      <xdr:row>25</xdr:row>
      <xdr:rowOff>8246</xdr:rowOff>
    </xdr:from>
    <xdr:to>
      <xdr:col>15</xdr:col>
      <xdr:colOff>536039</xdr:colOff>
      <xdr:row>36</xdr:row>
      <xdr:rowOff>41233</xdr:rowOff>
    </xdr:to>
    <xdr:graphicFrame macro="">
      <xdr:nvGraphicFramePr>
        <xdr:cNvPr id="33" name="Chart 32">
          <a:extLst>
            <a:ext uri="{FF2B5EF4-FFF2-40B4-BE49-F238E27FC236}">
              <a16:creationId xmlns:a16="http://schemas.microsoft.com/office/drawing/2014/main" id="{A58DD537-E627-471B-A143-F1F1FDF70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272142</xdr:colOff>
      <xdr:row>9</xdr:row>
      <xdr:rowOff>45192</xdr:rowOff>
    </xdr:from>
    <xdr:to>
      <xdr:col>25</xdr:col>
      <xdr:colOff>8245</xdr:colOff>
      <xdr:row>26</xdr:row>
      <xdr:rowOff>156689</xdr:rowOff>
    </xdr:to>
    <xdr:sp macro="" textlink="">
      <xdr:nvSpPr>
        <xdr:cNvPr id="34" name="Rectangle: Rounded Corners 33">
          <a:extLst>
            <a:ext uri="{FF2B5EF4-FFF2-40B4-BE49-F238E27FC236}">
              <a16:creationId xmlns:a16="http://schemas.microsoft.com/office/drawing/2014/main" id="{94729769-3BD1-4657-86E1-A270831C0085}"/>
            </a:ext>
          </a:extLst>
        </xdr:cNvPr>
        <xdr:cNvSpPr/>
      </xdr:nvSpPr>
      <xdr:spPr>
        <a:xfrm>
          <a:off x="10036298" y="1678049"/>
          <a:ext cx="5228441" cy="321227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16493</xdr:colOff>
      <xdr:row>11</xdr:row>
      <xdr:rowOff>41235</xdr:rowOff>
    </xdr:from>
    <xdr:to>
      <xdr:col>24</xdr:col>
      <xdr:colOff>387230</xdr:colOff>
      <xdr:row>26</xdr:row>
      <xdr:rowOff>46513</xdr:rowOff>
    </xdr:to>
    <xdr:graphicFrame macro="">
      <xdr:nvGraphicFramePr>
        <xdr:cNvPr id="35" name="Chart 34">
          <a:extLst>
            <a:ext uri="{FF2B5EF4-FFF2-40B4-BE49-F238E27FC236}">
              <a16:creationId xmlns:a16="http://schemas.microsoft.com/office/drawing/2014/main" id="{04F6DF89-E643-4DBE-B7B4-9BBE07ED7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289892</xdr:colOff>
      <xdr:row>0</xdr:row>
      <xdr:rowOff>96630</xdr:rowOff>
    </xdr:from>
    <xdr:to>
      <xdr:col>15</xdr:col>
      <xdr:colOff>276087</xdr:colOff>
      <xdr:row>3</xdr:row>
      <xdr:rowOff>138043</xdr:rowOff>
    </xdr:to>
    <xdr:sp macro="" textlink="">
      <xdr:nvSpPr>
        <xdr:cNvPr id="36" name="TextBox 35">
          <a:extLst>
            <a:ext uri="{FF2B5EF4-FFF2-40B4-BE49-F238E27FC236}">
              <a16:creationId xmlns:a16="http://schemas.microsoft.com/office/drawing/2014/main" id="{16D48B21-5E8A-35C8-BBB0-C2C5CBEADD31}"/>
            </a:ext>
          </a:extLst>
        </xdr:cNvPr>
        <xdr:cNvSpPr txBox="1"/>
      </xdr:nvSpPr>
      <xdr:spPr>
        <a:xfrm>
          <a:off x="4541631" y="96630"/>
          <a:ext cx="4845326" cy="579783"/>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accent1"/>
              </a:solidFill>
            </a:rPr>
            <a:t>Dashboard</a:t>
          </a:r>
        </a:p>
      </xdr:txBody>
    </xdr:sp>
    <xdr:clientData/>
  </xdr:twoCellAnchor>
  <xdr:twoCellAnchor editAs="oneCell">
    <xdr:from>
      <xdr:col>0</xdr:col>
      <xdr:colOff>150812</xdr:colOff>
      <xdr:row>5</xdr:row>
      <xdr:rowOff>142875</xdr:rowOff>
    </xdr:from>
    <xdr:to>
      <xdr:col>0</xdr:col>
      <xdr:colOff>501332</xdr:colOff>
      <xdr:row>7</xdr:row>
      <xdr:rowOff>31750</xdr:rowOff>
    </xdr:to>
    <xdr:pic>
      <xdr:nvPicPr>
        <xdr:cNvPr id="38" name="Graphic 37" descr="Coins with solid fill">
          <a:extLst>
            <a:ext uri="{FF2B5EF4-FFF2-40B4-BE49-F238E27FC236}">
              <a16:creationId xmlns:a16="http://schemas.microsoft.com/office/drawing/2014/main" id="{4AE5898C-92B4-2C3E-C15F-84741371930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0812" y="1055688"/>
          <a:ext cx="350520" cy="254000"/>
        </a:xfrm>
        <a:prstGeom prst="rect">
          <a:avLst/>
        </a:prstGeom>
      </xdr:spPr>
    </xdr:pic>
    <xdr:clientData/>
  </xdr:twoCellAnchor>
  <xdr:twoCellAnchor editAs="oneCell">
    <xdr:from>
      <xdr:col>3</xdr:col>
      <xdr:colOff>166686</xdr:colOff>
      <xdr:row>5</xdr:row>
      <xdr:rowOff>47625</xdr:rowOff>
    </xdr:from>
    <xdr:to>
      <xdr:col>3</xdr:col>
      <xdr:colOff>525461</xdr:colOff>
      <xdr:row>7</xdr:row>
      <xdr:rowOff>127000</xdr:rowOff>
    </xdr:to>
    <xdr:pic>
      <xdr:nvPicPr>
        <xdr:cNvPr id="40" name="Graphic 39" descr="Scales of justice with solid fill">
          <a:extLst>
            <a:ext uri="{FF2B5EF4-FFF2-40B4-BE49-F238E27FC236}">
              <a16:creationId xmlns:a16="http://schemas.microsoft.com/office/drawing/2014/main" id="{BC8CD853-4C02-4CA4-9548-D84164E4642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00249" y="960438"/>
          <a:ext cx="358775" cy="444500"/>
        </a:xfrm>
        <a:prstGeom prst="rect">
          <a:avLst/>
        </a:prstGeom>
      </xdr:spPr>
    </xdr:pic>
    <xdr:clientData/>
  </xdr:twoCellAnchor>
  <xdr:twoCellAnchor editAs="oneCell">
    <xdr:from>
      <xdr:col>6</xdr:col>
      <xdr:colOff>111126</xdr:colOff>
      <xdr:row>5</xdr:row>
      <xdr:rowOff>71437</xdr:rowOff>
    </xdr:from>
    <xdr:to>
      <xdr:col>6</xdr:col>
      <xdr:colOff>555625</xdr:colOff>
      <xdr:row>7</xdr:row>
      <xdr:rowOff>127000</xdr:rowOff>
    </xdr:to>
    <xdr:pic>
      <xdr:nvPicPr>
        <xdr:cNvPr id="42" name="Graphic 41" descr="Bar chart with solid fill">
          <a:extLst>
            <a:ext uri="{FF2B5EF4-FFF2-40B4-BE49-F238E27FC236}">
              <a16:creationId xmlns:a16="http://schemas.microsoft.com/office/drawing/2014/main" id="{2ABA7E35-C248-7D74-A37A-D26C31FFD8E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778251" y="984250"/>
          <a:ext cx="444499" cy="42068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n Kumar" refreshedDate="46193.784710995373" createdVersion="8" refreshedVersion="8" minRefreshableVersion="3" recordCount="126" xr:uid="{EC2736E7-5CA5-4702-9D89-51FACE878122}">
  <cacheSource type="worksheet">
    <worksheetSource name="Table2"/>
  </cacheSource>
  <cacheFields count="6">
    <cacheField name="Restaurant" numFmtId="0">
      <sharedItems count="10">
        <s v="Copper Chimney"/>
        <s v="Absolute Barbecues"/>
        <s v="Anjappar Chettinad"/>
        <s v="Buhari Restaurant"/>
        <s v="Cream Centre"/>
        <s v="Saravana Bhavan"/>
        <s v="Barbeque Nation"/>
        <s v="Murugan Idli Shop"/>
        <s v="Adyar Ananda Bhavan"/>
        <s v="Sangeetha Veg Restaurant"/>
      </sharedItems>
    </cacheField>
    <cacheField name="Location" numFmtId="0">
      <sharedItems count="6">
        <s v="Velachery"/>
        <s v="OMR"/>
        <s v="Adyar"/>
        <s v="T. Nagar"/>
        <s v="Anna Nagar"/>
        <s v="Nungambakkam"/>
      </sharedItems>
    </cacheField>
    <cacheField name="Cuisine" numFmtId="0">
      <sharedItems count="5">
        <s v="Chinese"/>
        <s v="North Indian"/>
        <s v="Continental"/>
        <s v="South Indian"/>
        <s v="Arabian"/>
      </sharedItems>
    </cacheField>
    <cacheField name="Rating" numFmtId="0">
      <sharedItems containsSemiMixedTypes="0" containsString="0" containsNumber="1" minValue="3" maxValue="4.9000000000000004"/>
    </cacheField>
    <cacheField name="Veg_or_NonVeg" numFmtId="0">
      <sharedItems count="2">
        <s v="Veg"/>
        <s v="Non-Veg"/>
      </sharedItems>
    </cacheField>
    <cacheField name="Price" numFmtId="164">
      <sharedItems containsSemiMixedTypes="0" containsString="0" containsNumber="1" containsInteger="1" minValue="150" maxValue="1200"/>
    </cacheField>
  </cacheFields>
  <extLst>
    <ext xmlns:x14="http://schemas.microsoft.com/office/spreadsheetml/2009/9/main" uri="{725AE2AE-9491-48be-B2B4-4EB974FC3084}">
      <x14:pivotCacheDefinition pivotCacheId="1695790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x v="0"/>
    <x v="0"/>
    <x v="0"/>
    <n v="3.1"/>
    <x v="0"/>
    <n v="1200"/>
  </r>
  <r>
    <x v="1"/>
    <x v="1"/>
    <x v="1"/>
    <n v="4.8"/>
    <x v="1"/>
    <n v="750"/>
  </r>
  <r>
    <x v="0"/>
    <x v="0"/>
    <x v="0"/>
    <n v="4.8"/>
    <x v="0"/>
    <n v="300"/>
  </r>
  <r>
    <x v="2"/>
    <x v="2"/>
    <x v="1"/>
    <n v="3.1"/>
    <x v="0"/>
    <n v="1200"/>
  </r>
  <r>
    <x v="3"/>
    <x v="0"/>
    <x v="0"/>
    <n v="4.9000000000000004"/>
    <x v="1"/>
    <n v="750"/>
  </r>
  <r>
    <x v="0"/>
    <x v="0"/>
    <x v="2"/>
    <n v="4.4000000000000004"/>
    <x v="0"/>
    <n v="150"/>
  </r>
  <r>
    <x v="4"/>
    <x v="3"/>
    <x v="0"/>
    <n v="4.7"/>
    <x v="1"/>
    <n v="500"/>
  </r>
  <r>
    <x v="3"/>
    <x v="1"/>
    <x v="3"/>
    <n v="3.6"/>
    <x v="1"/>
    <n v="1200"/>
  </r>
  <r>
    <x v="2"/>
    <x v="3"/>
    <x v="2"/>
    <n v="4"/>
    <x v="0"/>
    <n v="300"/>
  </r>
  <r>
    <x v="0"/>
    <x v="4"/>
    <x v="3"/>
    <n v="4.7"/>
    <x v="0"/>
    <n v="750"/>
  </r>
  <r>
    <x v="5"/>
    <x v="5"/>
    <x v="4"/>
    <n v="3.9"/>
    <x v="1"/>
    <n v="150"/>
  </r>
  <r>
    <x v="6"/>
    <x v="0"/>
    <x v="0"/>
    <n v="4.7"/>
    <x v="0"/>
    <n v="500"/>
  </r>
  <r>
    <x v="7"/>
    <x v="5"/>
    <x v="0"/>
    <n v="4.7"/>
    <x v="1"/>
    <n v="750"/>
  </r>
  <r>
    <x v="7"/>
    <x v="3"/>
    <x v="0"/>
    <n v="3.6"/>
    <x v="1"/>
    <n v="300"/>
  </r>
  <r>
    <x v="8"/>
    <x v="4"/>
    <x v="4"/>
    <n v="4.0999999999999996"/>
    <x v="0"/>
    <n v="750"/>
  </r>
  <r>
    <x v="0"/>
    <x v="4"/>
    <x v="2"/>
    <n v="3"/>
    <x v="0"/>
    <n v="150"/>
  </r>
  <r>
    <x v="0"/>
    <x v="2"/>
    <x v="1"/>
    <n v="4.0999999999999996"/>
    <x v="0"/>
    <n v="750"/>
  </r>
  <r>
    <x v="6"/>
    <x v="4"/>
    <x v="0"/>
    <n v="3.6"/>
    <x v="1"/>
    <n v="300"/>
  </r>
  <r>
    <x v="2"/>
    <x v="0"/>
    <x v="3"/>
    <n v="3.3"/>
    <x v="0"/>
    <n v="150"/>
  </r>
  <r>
    <x v="3"/>
    <x v="4"/>
    <x v="3"/>
    <n v="4.8"/>
    <x v="1"/>
    <n v="750"/>
  </r>
  <r>
    <x v="7"/>
    <x v="5"/>
    <x v="3"/>
    <n v="4.0999999999999996"/>
    <x v="0"/>
    <n v="300"/>
  </r>
  <r>
    <x v="1"/>
    <x v="4"/>
    <x v="0"/>
    <n v="3.7"/>
    <x v="0"/>
    <n v="750"/>
  </r>
  <r>
    <x v="7"/>
    <x v="2"/>
    <x v="0"/>
    <n v="4.8"/>
    <x v="1"/>
    <n v="500"/>
  </r>
  <r>
    <x v="1"/>
    <x v="5"/>
    <x v="0"/>
    <n v="4.3"/>
    <x v="1"/>
    <n v="150"/>
  </r>
  <r>
    <x v="0"/>
    <x v="1"/>
    <x v="0"/>
    <n v="4.3"/>
    <x v="0"/>
    <n v="500"/>
  </r>
  <r>
    <x v="9"/>
    <x v="0"/>
    <x v="0"/>
    <n v="3.2"/>
    <x v="1"/>
    <n v="500"/>
  </r>
  <r>
    <x v="0"/>
    <x v="1"/>
    <x v="3"/>
    <n v="3.1"/>
    <x v="1"/>
    <n v="1200"/>
  </r>
  <r>
    <x v="5"/>
    <x v="1"/>
    <x v="2"/>
    <n v="4.4000000000000004"/>
    <x v="0"/>
    <n v="1200"/>
  </r>
  <r>
    <x v="4"/>
    <x v="3"/>
    <x v="4"/>
    <n v="4.0999999999999996"/>
    <x v="1"/>
    <n v="500"/>
  </r>
  <r>
    <x v="4"/>
    <x v="2"/>
    <x v="4"/>
    <n v="4.8"/>
    <x v="1"/>
    <n v="750"/>
  </r>
  <r>
    <x v="8"/>
    <x v="2"/>
    <x v="4"/>
    <n v="4.0999999999999996"/>
    <x v="1"/>
    <n v="750"/>
  </r>
  <r>
    <x v="5"/>
    <x v="2"/>
    <x v="2"/>
    <n v="3.1"/>
    <x v="0"/>
    <n v="750"/>
  </r>
  <r>
    <x v="5"/>
    <x v="4"/>
    <x v="0"/>
    <n v="3.7"/>
    <x v="0"/>
    <n v="1200"/>
  </r>
  <r>
    <x v="6"/>
    <x v="2"/>
    <x v="3"/>
    <n v="3.1"/>
    <x v="1"/>
    <n v="500"/>
  </r>
  <r>
    <x v="7"/>
    <x v="1"/>
    <x v="2"/>
    <n v="3.8"/>
    <x v="1"/>
    <n v="300"/>
  </r>
  <r>
    <x v="3"/>
    <x v="5"/>
    <x v="4"/>
    <n v="3.3"/>
    <x v="0"/>
    <n v="1200"/>
  </r>
  <r>
    <x v="7"/>
    <x v="1"/>
    <x v="0"/>
    <n v="3.2"/>
    <x v="1"/>
    <n v="1200"/>
  </r>
  <r>
    <x v="5"/>
    <x v="0"/>
    <x v="3"/>
    <n v="4.9000000000000004"/>
    <x v="1"/>
    <n v="300"/>
  </r>
  <r>
    <x v="7"/>
    <x v="0"/>
    <x v="2"/>
    <n v="4.5"/>
    <x v="1"/>
    <n v="500"/>
  </r>
  <r>
    <x v="9"/>
    <x v="5"/>
    <x v="4"/>
    <n v="4"/>
    <x v="1"/>
    <n v="300"/>
  </r>
  <r>
    <x v="5"/>
    <x v="0"/>
    <x v="3"/>
    <n v="3.1"/>
    <x v="0"/>
    <n v="300"/>
  </r>
  <r>
    <x v="8"/>
    <x v="4"/>
    <x v="2"/>
    <n v="3.9"/>
    <x v="1"/>
    <n v="750"/>
  </r>
  <r>
    <x v="8"/>
    <x v="1"/>
    <x v="0"/>
    <n v="4.4000000000000004"/>
    <x v="1"/>
    <n v="1200"/>
  </r>
  <r>
    <x v="9"/>
    <x v="5"/>
    <x v="4"/>
    <n v="3.5"/>
    <x v="0"/>
    <n v="150"/>
  </r>
  <r>
    <x v="8"/>
    <x v="5"/>
    <x v="4"/>
    <n v="3.5"/>
    <x v="1"/>
    <n v="300"/>
  </r>
  <r>
    <x v="5"/>
    <x v="2"/>
    <x v="1"/>
    <n v="4.7"/>
    <x v="0"/>
    <n v="1200"/>
  </r>
  <r>
    <x v="1"/>
    <x v="3"/>
    <x v="3"/>
    <n v="3.8"/>
    <x v="1"/>
    <n v="750"/>
  </r>
  <r>
    <x v="3"/>
    <x v="0"/>
    <x v="2"/>
    <n v="3.4"/>
    <x v="1"/>
    <n v="300"/>
  </r>
  <r>
    <x v="4"/>
    <x v="3"/>
    <x v="0"/>
    <n v="3.8"/>
    <x v="1"/>
    <n v="750"/>
  </r>
  <r>
    <x v="1"/>
    <x v="4"/>
    <x v="2"/>
    <n v="3.7"/>
    <x v="1"/>
    <n v="500"/>
  </r>
  <r>
    <x v="1"/>
    <x v="0"/>
    <x v="4"/>
    <n v="4.0999999999999996"/>
    <x v="0"/>
    <n v="500"/>
  </r>
  <r>
    <x v="8"/>
    <x v="2"/>
    <x v="3"/>
    <n v="4.3"/>
    <x v="0"/>
    <n v="150"/>
  </r>
  <r>
    <x v="8"/>
    <x v="3"/>
    <x v="4"/>
    <n v="3.9"/>
    <x v="1"/>
    <n v="500"/>
  </r>
  <r>
    <x v="5"/>
    <x v="2"/>
    <x v="3"/>
    <n v="4.8"/>
    <x v="1"/>
    <n v="300"/>
  </r>
  <r>
    <x v="2"/>
    <x v="2"/>
    <x v="3"/>
    <n v="4.4000000000000004"/>
    <x v="1"/>
    <n v="300"/>
  </r>
  <r>
    <x v="4"/>
    <x v="2"/>
    <x v="0"/>
    <n v="3.6"/>
    <x v="0"/>
    <n v="1200"/>
  </r>
  <r>
    <x v="7"/>
    <x v="3"/>
    <x v="4"/>
    <n v="4.2"/>
    <x v="1"/>
    <n v="150"/>
  </r>
  <r>
    <x v="4"/>
    <x v="4"/>
    <x v="3"/>
    <n v="4.3"/>
    <x v="0"/>
    <n v="300"/>
  </r>
  <r>
    <x v="2"/>
    <x v="2"/>
    <x v="4"/>
    <n v="4.5999999999999996"/>
    <x v="1"/>
    <n v="150"/>
  </r>
  <r>
    <x v="5"/>
    <x v="5"/>
    <x v="2"/>
    <n v="4.4000000000000004"/>
    <x v="1"/>
    <n v="1200"/>
  </r>
  <r>
    <x v="7"/>
    <x v="0"/>
    <x v="4"/>
    <n v="4.0999999999999996"/>
    <x v="0"/>
    <n v="300"/>
  </r>
  <r>
    <x v="4"/>
    <x v="4"/>
    <x v="1"/>
    <n v="4.8"/>
    <x v="1"/>
    <n v="750"/>
  </r>
  <r>
    <x v="8"/>
    <x v="4"/>
    <x v="3"/>
    <n v="4.0999999999999996"/>
    <x v="1"/>
    <n v="1200"/>
  </r>
  <r>
    <x v="3"/>
    <x v="4"/>
    <x v="0"/>
    <n v="3.1"/>
    <x v="0"/>
    <n v="300"/>
  </r>
  <r>
    <x v="0"/>
    <x v="2"/>
    <x v="0"/>
    <n v="3.1"/>
    <x v="0"/>
    <n v="750"/>
  </r>
  <r>
    <x v="4"/>
    <x v="1"/>
    <x v="2"/>
    <n v="4"/>
    <x v="1"/>
    <n v="1200"/>
  </r>
  <r>
    <x v="9"/>
    <x v="3"/>
    <x v="0"/>
    <n v="4.4000000000000004"/>
    <x v="1"/>
    <n v="300"/>
  </r>
  <r>
    <x v="9"/>
    <x v="0"/>
    <x v="2"/>
    <n v="3.3"/>
    <x v="1"/>
    <n v="500"/>
  </r>
  <r>
    <x v="6"/>
    <x v="0"/>
    <x v="0"/>
    <n v="3.7"/>
    <x v="0"/>
    <n v="750"/>
  </r>
  <r>
    <x v="7"/>
    <x v="3"/>
    <x v="3"/>
    <n v="4.4000000000000004"/>
    <x v="1"/>
    <n v="150"/>
  </r>
  <r>
    <x v="7"/>
    <x v="3"/>
    <x v="3"/>
    <n v="4.9000000000000004"/>
    <x v="0"/>
    <n v="500"/>
  </r>
  <r>
    <x v="6"/>
    <x v="1"/>
    <x v="4"/>
    <n v="4.3"/>
    <x v="0"/>
    <n v="500"/>
  </r>
  <r>
    <x v="6"/>
    <x v="4"/>
    <x v="4"/>
    <n v="3.4"/>
    <x v="1"/>
    <n v="150"/>
  </r>
  <r>
    <x v="7"/>
    <x v="3"/>
    <x v="0"/>
    <n v="4.5"/>
    <x v="1"/>
    <n v="500"/>
  </r>
  <r>
    <x v="3"/>
    <x v="0"/>
    <x v="4"/>
    <n v="3.4"/>
    <x v="1"/>
    <n v="300"/>
  </r>
  <r>
    <x v="1"/>
    <x v="2"/>
    <x v="2"/>
    <n v="3.9"/>
    <x v="1"/>
    <n v="750"/>
  </r>
  <r>
    <x v="3"/>
    <x v="0"/>
    <x v="1"/>
    <n v="3.9"/>
    <x v="1"/>
    <n v="750"/>
  </r>
  <r>
    <x v="1"/>
    <x v="3"/>
    <x v="4"/>
    <n v="3.7"/>
    <x v="1"/>
    <n v="750"/>
  </r>
  <r>
    <x v="3"/>
    <x v="5"/>
    <x v="4"/>
    <n v="3.3"/>
    <x v="1"/>
    <n v="300"/>
  </r>
  <r>
    <x v="5"/>
    <x v="1"/>
    <x v="0"/>
    <n v="4.0999999999999996"/>
    <x v="1"/>
    <n v="500"/>
  </r>
  <r>
    <x v="4"/>
    <x v="1"/>
    <x v="4"/>
    <n v="4.5999999999999996"/>
    <x v="1"/>
    <n v="300"/>
  </r>
  <r>
    <x v="1"/>
    <x v="3"/>
    <x v="4"/>
    <n v="3.7"/>
    <x v="0"/>
    <n v="1200"/>
  </r>
  <r>
    <x v="4"/>
    <x v="0"/>
    <x v="1"/>
    <n v="3.5"/>
    <x v="1"/>
    <n v="500"/>
  </r>
  <r>
    <x v="7"/>
    <x v="5"/>
    <x v="1"/>
    <n v="4.4000000000000004"/>
    <x v="0"/>
    <n v="1200"/>
  </r>
  <r>
    <x v="2"/>
    <x v="1"/>
    <x v="3"/>
    <n v="4.7"/>
    <x v="1"/>
    <n v="300"/>
  </r>
  <r>
    <x v="9"/>
    <x v="4"/>
    <x v="2"/>
    <n v="3.4"/>
    <x v="1"/>
    <n v="750"/>
  </r>
  <r>
    <x v="6"/>
    <x v="1"/>
    <x v="0"/>
    <n v="3.2"/>
    <x v="1"/>
    <n v="500"/>
  </r>
  <r>
    <x v="4"/>
    <x v="2"/>
    <x v="1"/>
    <n v="3.7"/>
    <x v="0"/>
    <n v="150"/>
  </r>
  <r>
    <x v="9"/>
    <x v="0"/>
    <x v="1"/>
    <n v="3.5"/>
    <x v="0"/>
    <n v="1200"/>
  </r>
  <r>
    <x v="9"/>
    <x v="5"/>
    <x v="1"/>
    <n v="4.9000000000000004"/>
    <x v="0"/>
    <n v="300"/>
  </r>
  <r>
    <x v="2"/>
    <x v="3"/>
    <x v="1"/>
    <n v="4.4000000000000004"/>
    <x v="0"/>
    <n v="300"/>
  </r>
  <r>
    <x v="8"/>
    <x v="3"/>
    <x v="2"/>
    <n v="3"/>
    <x v="0"/>
    <n v="500"/>
  </r>
  <r>
    <x v="4"/>
    <x v="1"/>
    <x v="0"/>
    <n v="4.3"/>
    <x v="0"/>
    <n v="500"/>
  </r>
  <r>
    <x v="9"/>
    <x v="3"/>
    <x v="3"/>
    <n v="4"/>
    <x v="0"/>
    <n v="300"/>
  </r>
  <r>
    <x v="5"/>
    <x v="4"/>
    <x v="3"/>
    <n v="3.6"/>
    <x v="0"/>
    <n v="300"/>
  </r>
  <r>
    <x v="7"/>
    <x v="4"/>
    <x v="0"/>
    <n v="4.3"/>
    <x v="0"/>
    <n v="500"/>
  </r>
  <r>
    <x v="8"/>
    <x v="0"/>
    <x v="1"/>
    <n v="3.3"/>
    <x v="1"/>
    <n v="750"/>
  </r>
  <r>
    <x v="8"/>
    <x v="4"/>
    <x v="2"/>
    <n v="4.5"/>
    <x v="0"/>
    <n v="1200"/>
  </r>
  <r>
    <x v="0"/>
    <x v="3"/>
    <x v="1"/>
    <n v="4.8"/>
    <x v="1"/>
    <n v="1200"/>
  </r>
  <r>
    <x v="2"/>
    <x v="4"/>
    <x v="1"/>
    <n v="3.3"/>
    <x v="1"/>
    <n v="500"/>
  </r>
  <r>
    <x v="8"/>
    <x v="3"/>
    <x v="2"/>
    <n v="4.9000000000000004"/>
    <x v="1"/>
    <n v="500"/>
  </r>
  <r>
    <x v="0"/>
    <x v="2"/>
    <x v="1"/>
    <n v="3.5"/>
    <x v="0"/>
    <n v="150"/>
  </r>
  <r>
    <x v="3"/>
    <x v="3"/>
    <x v="2"/>
    <n v="4.2"/>
    <x v="1"/>
    <n v="1200"/>
  </r>
  <r>
    <x v="8"/>
    <x v="5"/>
    <x v="1"/>
    <n v="3.5"/>
    <x v="1"/>
    <n v="150"/>
  </r>
  <r>
    <x v="0"/>
    <x v="0"/>
    <x v="4"/>
    <n v="3.3"/>
    <x v="1"/>
    <n v="150"/>
  </r>
  <r>
    <x v="2"/>
    <x v="3"/>
    <x v="2"/>
    <n v="4.3"/>
    <x v="0"/>
    <n v="300"/>
  </r>
  <r>
    <x v="6"/>
    <x v="4"/>
    <x v="1"/>
    <n v="3.8"/>
    <x v="0"/>
    <n v="300"/>
  </r>
  <r>
    <x v="6"/>
    <x v="3"/>
    <x v="4"/>
    <n v="3"/>
    <x v="0"/>
    <n v="150"/>
  </r>
  <r>
    <x v="7"/>
    <x v="3"/>
    <x v="1"/>
    <n v="4.9000000000000004"/>
    <x v="1"/>
    <n v="500"/>
  </r>
  <r>
    <x v="7"/>
    <x v="1"/>
    <x v="0"/>
    <n v="3.5"/>
    <x v="1"/>
    <n v="750"/>
  </r>
  <r>
    <x v="8"/>
    <x v="2"/>
    <x v="0"/>
    <n v="4.3"/>
    <x v="1"/>
    <n v="300"/>
  </r>
  <r>
    <x v="6"/>
    <x v="3"/>
    <x v="2"/>
    <n v="3.2"/>
    <x v="0"/>
    <n v="750"/>
  </r>
  <r>
    <x v="6"/>
    <x v="2"/>
    <x v="3"/>
    <n v="4.8"/>
    <x v="1"/>
    <n v="300"/>
  </r>
  <r>
    <x v="7"/>
    <x v="3"/>
    <x v="4"/>
    <n v="3.4"/>
    <x v="0"/>
    <n v="500"/>
  </r>
  <r>
    <x v="3"/>
    <x v="2"/>
    <x v="1"/>
    <n v="4"/>
    <x v="1"/>
    <n v="1200"/>
  </r>
  <r>
    <x v="4"/>
    <x v="3"/>
    <x v="3"/>
    <n v="3.5"/>
    <x v="0"/>
    <n v="500"/>
  </r>
  <r>
    <x v="2"/>
    <x v="5"/>
    <x v="1"/>
    <n v="3.8"/>
    <x v="0"/>
    <n v="500"/>
  </r>
  <r>
    <x v="6"/>
    <x v="1"/>
    <x v="3"/>
    <n v="4.4000000000000004"/>
    <x v="1"/>
    <n v="1200"/>
  </r>
  <r>
    <x v="1"/>
    <x v="0"/>
    <x v="3"/>
    <n v="4"/>
    <x v="1"/>
    <n v="750"/>
  </r>
  <r>
    <x v="6"/>
    <x v="1"/>
    <x v="2"/>
    <n v="4"/>
    <x v="1"/>
    <n v="150"/>
  </r>
  <r>
    <x v="9"/>
    <x v="4"/>
    <x v="1"/>
    <n v="3.9"/>
    <x v="1"/>
    <n v="1200"/>
  </r>
  <r>
    <x v="1"/>
    <x v="5"/>
    <x v="1"/>
    <n v="4.7"/>
    <x v="1"/>
    <n v="1200"/>
  </r>
  <r>
    <x v="6"/>
    <x v="3"/>
    <x v="4"/>
    <n v="3.5"/>
    <x v="1"/>
    <n v="300"/>
  </r>
  <r>
    <x v="3"/>
    <x v="5"/>
    <x v="0"/>
    <n v="4.2"/>
    <x v="0"/>
    <n v="500"/>
  </r>
  <r>
    <x v="6"/>
    <x v="1"/>
    <x v="4"/>
    <n v="4.7"/>
    <x v="0"/>
    <n v="500"/>
  </r>
  <r>
    <x v="7"/>
    <x v="3"/>
    <x v="4"/>
    <n v="3.5"/>
    <x v="0"/>
    <n v="7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6F8574-0D31-4DE6-B5CB-97A8BC4E71E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3:L14" firstHeaderRow="1" firstDataRow="1" firstDataCol="1"/>
  <pivotFields count="6">
    <pivotField axis="axisRow" showAll="0" sortType="descending">
      <items count="11">
        <item x="1"/>
        <item x="8"/>
        <item x="2"/>
        <item x="6"/>
        <item x="3"/>
        <item x="0"/>
        <item x="4"/>
        <item x="7"/>
        <item x="9"/>
        <item x="5"/>
        <item t="default"/>
      </items>
      <autoSortScope>
        <pivotArea dataOnly="0" outline="0" fieldPosition="0">
          <references count="1">
            <reference field="4294967294" count="1" selected="0">
              <x v="0"/>
            </reference>
          </references>
        </pivotArea>
      </autoSortScope>
    </pivotField>
    <pivotField showAll="0">
      <items count="7">
        <item h="1" x="2"/>
        <item x="4"/>
        <item h="1" x="5"/>
        <item h="1" x="1"/>
        <item h="1" x="3"/>
        <item h="1" x="0"/>
        <item t="default"/>
      </items>
    </pivotField>
    <pivotField showAll="0"/>
    <pivotField showAll="0"/>
    <pivotField showAll="0">
      <items count="3">
        <item x="1"/>
        <item x="0"/>
        <item t="default"/>
      </items>
    </pivotField>
    <pivotField dataField="1" numFmtId="164" showAll="0"/>
  </pivotFields>
  <rowFields count="1">
    <field x="0"/>
  </rowFields>
  <rowItems count="11">
    <i>
      <x v="1"/>
    </i>
    <i>
      <x v="8"/>
    </i>
    <i>
      <x v="9"/>
    </i>
    <i>
      <x/>
    </i>
    <i>
      <x v="6"/>
    </i>
    <i>
      <x v="4"/>
    </i>
    <i>
      <x v="5"/>
    </i>
    <i>
      <x v="3"/>
    </i>
    <i>
      <x v="2"/>
    </i>
    <i>
      <x v="7"/>
    </i>
    <i t="grand">
      <x/>
    </i>
  </rowItems>
  <colItems count="1">
    <i/>
  </colItems>
  <dataFields count="1">
    <dataField name="Sum of Price" fld="5" baseField="0" baseItem="0" numFmtId="164"/>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353C14-2BBB-401B-B43D-70EAF9AC98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3:I5" firstHeaderRow="1" firstDataRow="1" firstDataCol="1"/>
  <pivotFields count="6">
    <pivotField showAll="0">
      <items count="11">
        <item x="1"/>
        <item x="8"/>
        <item x="2"/>
        <item x="6"/>
        <item x="3"/>
        <item x="0"/>
        <item x="4"/>
        <item x="7"/>
        <item x="9"/>
        <item x="5"/>
        <item t="default"/>
      </items>
    </pivotField>
    <pivotField axis="axisRow" showAll="0" sortType="descending">
      <items count="7">
        <item h="1" x="2"/>
        <item x="4"/>
        <item h="1" x="5"/>
        <item h="1" x="1"/>
        <item h="1" x="3"/>
        <item h="1" x="0"/>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dataField="1" numFmtId="164" showAll="0"/>
  </pivotFields>
  <rowFields count="1">
    <field x="1"/>
  </rowFields>
  <rowItems count="2">
    <i>
      <x v="1"/>
    </i>
    <i t="grand">
      <x/>
    </i>
  </rowItems>
  <colItems count="1">
    <i/>
  </colItems>
  <dataFields count="1">
    <dataField name="Sum of Price" fld="5" baseField="0" baseItem="0" numFmtId="164"/>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7C9A9F-66F0-499E-9D39-D3A7731E29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3:F9" firstHeaderRow="1" firstDataRow="1" firstDataCol="1"/>
  <pivotFields count="6">
    <pivotField showAll="0">
      <items count="11">
        <item x="1"/>
        <item x="8"/>
        <item x="2"/>
        <item x="6"/>
        <item x="3"/>
        <item x="0"/>
        <item x="4"/>
        <item x="7"/>
        <item x="9"/>
        <item x="5"/>
        <item t="default"/>
      </items>
    </pivotField>
    <pivotField showAll="0">
      <items count="7">
        <item h="1" x="2"/>
        <item x="4"/>
        <item h="1" x="5"/>
        <item h="1" x="1"/>
        <item h="1" x="3"/>
        <item h="1" x="0"/>
        <item t="default"/>
      </items>
    </pivotField>
    <pivotField axis="axisRow" showAll="0" sortType="descending">
      <items count="6">
        <item x="3"/>
        <item x="1"/>
        <item x="2"/>
        <item x="0"/>
        <item x="4"/>
        <item t="default"/>
      </items>
      <autoSortScope>
        <pivotArea dataOnly="0" outline="0" fieldPosition="0">
          <references count="1">
            <reference field="4294967294" count="1" selected="0">
              <x v="0"/>
            </reference>
          </references>
        </pivotArea>
      </autoSortScope>
    </pivotField>
    <pivotField dataField="1" showAll="0"/>
    <pivotField showAll="0">
      <items count="3">
        <item x="1"/>
        <item x="0"/>
        <item t="default"/>
      </items>
    </pivotField>
    <pivotField numFmtId="164" showAll="0"/>
  </pivotFields>
  <rowFields count="1">
    <field x="2"/>
  </rowFields>
  <rowItems count="6">
    <i>
      <x/>
    </i>
    <i>
      <x v="1"/>
    </i>
    <i>
      <x v="4"/>
    </i>
    <i>
      <x v="2"/>
    </i>
    <i>
      <x v="3"/>
    </i>
    <i t="grand">
      <x/>
    </i>
  </rowItems>
  <colItems count="1">
    <i/>
  </colItems>
  <dataFields count="1">
    <dataField name="Average of Rating" fld="3" subtotal="average" baseField="2" baseItem="0"/>
  </dataFields>
  <chartFormats count="1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0"/>
          </reference>
        </references>
      </pivotArea>
    </chartFormat>
    <chartFormat chart="6" format="2">
      <pivotArea type="data" outline="0" fieldPosition="0">
        <references count="2">
          <reference field="4294967294" count="1" selected="0">
            <x v="0"/>
          </reference>
          <reference field="2" count="1" selected="0">
            <x v="1"/>
          </reference>
        </references>
      </pivotArea>
    </chartFormat>
    <chartFormat chart="6" format="3">
      <pivotArea type="data" outline="0" fieldPosition="0">
        <references count="2">
          <reference field="4294967294" count="1" selected="0">
            <x v="0"/>
          </reference>
          <reference field="2" count="1" selected="0">
            <x v="3"/>
          </reference>
        </references>
      </pivotArea>
    </chartFormat>
    <chartFormat chart="6" format="4">
      <pivotArea type="data" outline="0" fieldPosition="0">
        <references count="2">
          <reference field="4294967294" count="1" selected="0">
            <x v="0"/>
          </reference>
          <reference field="2" count="1" selected="0">
            <x v="2"/>
          </reference>
        </references>
      </pivotArea>
    </chartFormat>
    <chartFormat chart="6" format="5">
      <pivotArea type="data" outline="0" fieldPosition="0">
        <references count="2">
          <reference field="4294967294" count="1" selected="0">
            <x v="0"/>
          </reference>
          <reference field="2" count="1" selected="0">
            <x v="4"/>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2" count="1" selected="0">
            <x v="0"/>
          </reference>
        </references>
      </pivotArea>
    </chartFormat>
    <chartFormat chart="11" format="14">
      <pivotArea type="data" outline="0" fieldPosition="0">
        <references count="2">
          <reference field="4294967294" count="1" selected="0">
            <x v="0"/>
          </reference>
          <reference field="2" count="1" selected="0">
            <x v="1"/>
          </reference>
        </references>
      </pivotArea>
    </chartFormat>
    <chartFormat chart="11" format="15">
      <pivotArea type="data" outline="0" fieldPosition="0">
        <references count="2">
          <reference field="4294967294" count="1" selected="0">
            <x v="0"/>
          </reference>
          <reference field="2" count="1" selected="0">
            <x v="3"/>
          </reference>
        </references>
      </pivotArea>
    </chartFormat>
    <chartFormat chart="11" format="16">
      <pivotArea type="data" outline="0" fieldPosition="0">
        <references count="2">
          <reference field="4294967294" count="1" selected="0">
            <x v="0"/>
          </reference>
          <reference field="2" count="1" selected="0">
            <x v="2"/>
          </reference>
        </references>
      </pivotArea>
    </chartFormat>
    <chartFormat chart="11"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1B8768-F35E-4D21-9D49-D4495F31A0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6" firstHeaderRow="0" firstDataRow="1" firstDataCol="1"/>
  <pivotFields count="6">
    <pivotField showAll="0">
      <items count="11">
        <item x="1"/>
        <item x="8"/>
        <item x="2"/>
        <item x="6"/>
        <item x="3"/>
        <item x="0"/>
        <item x="4"/>
        <item x="7"/>
        <item x="9"/>
        <item x="5"/>
        <item t="default"/>
      </items>
    </pivotField>
    <pivotField showAll="0">
      <items count="7">
        <item h="1" x="2"/>
        <item x="4"/>
        <item h="1" x="5"/>
        <item h="1" x="1"/>
        <item h="1" x="3"/>
        <item h="1" x="0"/>
        <item t="default"/>
      </items>
    </pivotField>
    <pivotField showAll="0"/>
    <pivotField dataField="1" showAll="0"/>
    <pivotField axis="axisRow" showAll="0">
      <items count="3">
        <item x="1"/>
        <item x="0"/>
        <item t="default"/>
      </items>
    </pivotField>
    <pivotField dataField="1" numFmtId="164" showAll="0"/>
  </pivotFields>
  <rowFields count="1">
    <field x="4"/>
  </rowFields>
  <rowItems count="3">
    <i>
      <x/>
    </i>
    <i>
      <x v="1"/>
    </i>
    <i t="grand">
      <x/>
    </i>
  </rowItems>
  <colFields count="1">
    <field x="-2"/>
  </colFields>
  <colItems count="2">
    <i>
      <x/>
    </i>
    <i i="1">
      <x v="1"/>
    </i>
  </colItems>
  <dataFields count="2">
    <dataField name="Sum of Price" fld="5" baseField="0" baseItem="0" numFmtId="164"/>
    <dataField name="Average of Rating" fld="3" subtotal="average" baseField="4" baseItem="0"/>
  </dataFields>
  <chartFormats count="6">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0"/>
          </reference>
          <reference field="4"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4" count="1" selected="0">
            <x v="1"/>
          </reference>
        </references>
      </pivotArea>
    </chartFormat>
    <chartFormat chart="12"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56FD7B-3950-4BE4-A591-9A2CBA507CB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3:P14" firstHeaderRow="0" firstDataRow="1" firstDataCol="1"/>
  <pivotFields count="6">
    <pivotField axis="axisRow" showAll="0" sortType="descending">
      <items count="11">
        <item x="1"/>
        <item x="8"/>
        <item x="2"/>
        <item x="6"/>
        <item x="3"/>
        <item x="0"/>
        <item x="4"/>
        <item x="7"/>
        <item x="9"/>
        <item x="5"/>
        <item t="default"/>
      </items>
      <autoSortScope>
        <pivotArea dataOnly="0" outline="0" fieldPosition="0">
          <references count="1">
            <reference field="4294967294" count="1" selected="0">
              <x v="0"/>
            </reference>
          </references>
        </pivotArea>
      </autoSortScope>
    </pivotField>
    <pivotField showAll="0">
      <items count="7">
        <item h="1" x="2"/>
        <item x="4"/>
        <item h="1" x="5"/>
        <item h="1" x="1"/>
        <item h="1" x="3"/>
        <item h="1" x="0"/>
        <item t="default"/>
      </items>
    </pivotField>
    <pivotField showAll="0"/>
    <pivotField dataField="1" showAll="0" sortType="descending"/>
    <pivotField showAll="0">
      <items count="3">
        <item x="1"/>
        <item x="0"/>
        <item t="default"/>
      </items>
    </pivotField>
    <pivotField dataField="1" numFmtId="164" showAll="0"/>
  </pivotFields>
  <rowFields count="1">
    <field x="0"/>
  </rowFields>
  <rowItems count="11">
    <i>
      <x v="1"/>
    </i>
    <i>
      <x v="8"/>
    </i>
    <i>
      <x v="9"/>
    </i>
    <i>
      <x/>
    </i>
    <i>
      <x v="6"/>
    </i>
    <i>
      <x v="4"/>
    </i>
    <i>
      <x v="5"/>
    </i>
    <i>
      <x v="3"/>
    </i>
    <i>
      <x v="2"/>
    </i>
    <i>
      <x v="7"/>
    </i>
    <i t="grand">
      <x/>
    </i>
  </rowItems>
  <colFields count="1">
    <field x="-2"/>
  </colFields>
  <colItems count="2">
    <i>
      <x/>
    </i>
    <i i="1">
      <x v="1"/>
    </i>
  </colItems>
  <dataFields count="2">
    <dataField name="Sum of Price" fld="5" baseField="0" baseItem="0" numFmtId="164"/>
    <dataField name="Average of Rating" fld="3" subtotal="average" baseField="0" baseItem="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FB66082A-2F3B-4353-AC31-75C2BE62292B}" sourceName="Restaurant">
  <pivotTables>
    <pivotTable tabId="3" name="PivotTable2"/>
    <pivotTable tabId="3" name="PivotTable1"/>
    <pivotTable tabId="3" name="PivotTable3"/>
    <pivotTable tabId="3" name="PivotTable4"/>
    <pivotTable tabId="3" name="PivotTable5"/>
  </pivotTables>
  <data>
    <tabular pivotCacheId="1695790230">
      <items count="10">
        <i x="1" s="1"/>
        <i x="8" s="1"/>
        <i x="2" s="1"/>
        <i x="6" s="1"/>
        <i x="3" s="1"/>
        <i x="0" s="1"/>
        <i x="4" s="1"/>
        <i x="7" s="1"/>
        <i x="9" s="1"/>
        <i x="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3EBABCD-98A6-40DD-B262-3AC543913FE3}" sourceName="Location">
  <pivotTables>
    <pivotTable tabId="3" name="PivotTable2"/>
    <pivotTable tabId="3" name="PivotTable1"/>
    <pivotTable tabId="3" name="PivotTable3"/>
    <pivotTable tabId="3" name="PivotTable4"/>
    <pivotTable tabId="3" name="PivotTable5"/>
  </pivotTables>
  <data>
    <tabular pivotCacheId="1695790230">
      <items count="6">
        <i x="2"/>
        <i x="4" s="1"/>
        <i x="5"/>
        <i x="1"/>
        <i x="3"/>
        <i x="0"/>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g_or_NonVeg" xr10:uid="{FCCB68C2-4A4E-4B73-9ECD-F30A661BF60D}" sourceName="Veg_or_NonVeg">
  <pivotTables>
    <pivotTable tabId="3" name="PivotTable2"/>
    <pivotTable tabId="3" name="PivotTable1"/>
    <pivotTable tabId="3" name="PivotTable3"/>
    <pivotTable tabId="3" name="PivotTable4"/>
    <pivotTable tabId="3" name="PivotTable5"/>
  </pivotTables>
  <data>
    <tabular pivotCacheId="1695790230">
      <items count="2">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xr10:uid="{BA18DD71-C112-4744-A07B-B71067F28461}" cache="Slicer_Restaurant" caption="Restaurant" columnCount="2" rowHeight="241300"/>
  <slicer name="Location" xr10:uid="{0FD22F23-B7F9-475F-8DA3-9CB50EE8347C}" cache="Slicer_Location" caption="Location" columnCount="2" rowHeight="241300"/>
  <slicer name="Veg_or_NonVeg" xr10:uid="{3BA18841-3AD3-4165-8F3C-B0B3D95893E3}" cache="Slicer_Veg_or_NonVeg" caption="Veg_or_NonVeg"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1" xr10:uid="{A1C9548E-CDC2-4C30-BBAD-1506BD36F422}" cache="Slicer_Restaurant" caption="Restaurant" columnCount="2" rowHeight="241300"/>
  <slicer name="Location 1" xr10:uid="{D65B6A15-95E8-4411-867D-83CF1C8DCA2D}" cache="Slicer_Location" caption="Location" columnCount="2" rowHeight="241300"/>
  <slicer name="Veg_or_NonVeg 1" xr10:uid="{20640F70-570E-4194-A141-225D77268A20}" cache="Slicer_Veg_or_NonVeg" caption="Veg_or_NonVeg"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47E4CD-5A49-4A79-8F7C-2C37EC9F04F6}" name="Table2" displayName="Table2" ref="A1:F127" totalsRowShown="0" headerRowDxfId="3" headerRowBorderDxfId="2" tableBorderDxfId="1">
  <autoFilter ref="A1:F127" xr:uid="{E047E4CD-5A49-4A79-8F7C-2C37EC9F04F6}"/>
  <tableColumns count="6">
    <tableColumn id="1" xr3:uid="{133E2EF5-056F-4A4E-911D-93020E46E347}" name="Restaurant"/>
    <tableColumn id="2" xr3:uid="{CBE94730-A40B-4B37-B9BF-A4B1586011E4}" name="Location"/>
    <tableColumn id="3" xr3:uid="{2B45A90A-1D73-470F-A4DF-1D38704463AD}" name="Cuisine"/>
    <tableColumn id="4" xr3:uid="{457494FD-0021-499E-B6CA-85869CCC6FCA}" name="Rating"/>
    <tableColumn id="6" xr3:uid="{42043EA9-D4B8-4B8F-B52C-A5EC96C05D20}" name="Veg_or_NonVeg"/>
    <tableColumn id="7" xr3:uid="{8C67647B-A57A-4BC2-9880-377082A506E6}" name="Price" dataDxfId="0"/>
  </tableColumns>
  <tableStyleInfo name="TableStyleDark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4C5EC2-891C-4322-B12C-B283AF7CE720}" name="Table3" displayName="Table3" ref="H2:H8" totalsRowShown="0">
  <tableColumns count="1">
    <tableColumn id="1" xr3:uid="{CE72CFFE-DB6C-4443-AF2B-62B4835DF6EE}" name="Total Price"/>
  </tableColumns>
  <tableStyleInfo name="TableStyleDark6" showFirstColumn="0" showLastColumn="0" showRowStripes="1" showColumnStripes="0"/>
</table>
</file>

<file path=xl/theme/theme1.xml><?xml version="1.0" encoding="utf-8"?>
<a:theme xmlns:a="http://schemas.openxmlformats.org/drawingml/2006/main" name="Office Theme 2007 - 2010">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2E46D-713D-4A60-B50C-6C3666A9F5CD}">
  <dimension ref="A3:P14"/>
  <sheetViews>
    <sheetView showRowColHeaders="0" zoomScale="81" workbookViewId="0">
      <selection activeCell="C33" sqref="C33"/>
    </sheetView>
  </sheetViews>
  <sheetFormatPr defaultRowHeight="14.5" x14ac:dyDescent="0.35"/>
  <cols>
    <col min="1" max="1" width="13.1796875" bestFit="1" customWidth="1"/>
    <col min="2" max="2" width="11.6328125" bestFit="1" customWidth="1"/>
    <col min="3" max="3" width="16.1796875" bestFit="1" customWidth="1"/>
    <col min="5" max="5" width="13.1796875" bestFit="1" customWidth="1"/>
    <col min="6" max="6" width="16.1796875" bestFit="1" customWidth="1"/>
    <col min="8" max="8" width="13.1796875" bestFit="1" customWidth="1"/>
    <col min="9" max="9" width="11.6328125" bestFit="1" customWidth="1"/>
    <col min="11" max="11" width="22.7265625" bestFit="1" customWidth="1"/>
    <col min="12" max="12" width="11.6328125" bestFit="1" customWidth="1"/>
    <col min="14" max="14" width="22.7265625" bestFit="1" customWidth="1"/>
    <col min="15" max="15" width="11.6328125" bestFit="1" customWidth="1"/>
    <col min="16" max="16" width="16.1796875" bestFit="1" customWidth="1"/>
  </cols>
  <sheetData>
    <row r="3" spans="1:16" x14ac:dyDescent="0.35">
      <c r="A3" s="4" t="s">
        <v>32</v>
      </c>
      <c r="B3" t="s">
        <v>34</v>
      </c>
      <c r="C3" t="s">
        <v>35</v>
      </c>
      <c r="E3" s="4" t="s">
        <v>32</v>
      </c>
      <c r="F3" t="s">
        <v>35</v>
      </c>
      <c r="H3" s="4" t="s">
        <v>32</v>
      </c>
      <c r="I3" t="s">
        <v>34</v>
      </c>
      <c r="K3" s="4" t="s">
        <v>32</v>
      </c>
      <c r="L3" t="s">
        <v>34</v>
      </c>
      <c r="N3" s="4" t="s">
        <v>32</v>
      </c>
      <c r="O3" t="s">
        <v>34</v>
      </c>
      <c r="P3" t="s">
        <v>35</v>
      </c>
    </row>
    <row r="4" spans="1:16" x14ac:dyDescent="0.35">
      <c r="A4" s="5" t="s">
        <v>28</v>
      </c>
      <c r="B4" s="2">
        <v>6850</v>
      </c>
      <c r="C4" s="7">
        <v>3.8899999999999997</v>
      </c>
      <c r="E4" s="5" t="s">
        <v>26</v>
      </c>
      <c r="F4" s="7">
        <v>4.3</v>
      </c>
      <c r="H4" s="5" t="s">
        <v>20</v>
      </c>
      <c r="I4" s="2">
        <v>13350</v>
      </c>
      <c r="K4" s="5" t="s">
        <v>9</v>
      </c>
      <c r="L4" s="2">
        <v>3900</v>
      </c>
      <c r="N4" s="5" t="s">
        <v>9</v>
      </c>
      <c r="O4" s="2">
        <v>3900</v>
      </c>
      <c r="P4" s="7">
        <v>4.1499999999999995</v>
      </c>
    </row>
    <row r="5" spans="1:16" x14ac:dyDescent="0.35">
      <c r="A5" s="5" t="s">
        <v>27</v>
      </c>
      <c r="B5" s="2">
        <v>6500</v>
      </c>
      <c r="C5" s="7">
        <v>3.890909090909092</v>
      </c>
      <c r="E5" s="5" t="s">
        <v>23</v>
      </c>
      <c r="F5" s="7">
        <v>3.95</v>
      </c>
      <c r="H5" s="5" t="s">
        <v>33</v>
      </c>
      <c r="I5" s="2">
        <v>13350</v>
      </c>
      <c r="K5" s="5" t="s">
        <v>15</v>
      </c>
      <c r="L5" s="2">
        <v>1950</v>
      </c>
      <c r="N5" s="5" t="s">
        <v>15</v>
      </c>
      <c r="O5" s="2">
        <v>1950</v>
      </c>
      <c r="P5" s="7">
        <v>3.65</v>
      </c>
    </row>
    <row r="6" spans="1:16" x14ac:dyDescent="0.35">
      <c r="A6" s="5" t="s">
        <v>33</v>
      </c>
      <c r="B6" s="2">
        <v>13350</v>
      </c>
      <c r="C6" s="7">
        <v>3.8904761904761904</v>
      </c>
      <c r="E6" s="5" t="s">
        <v>24</v>
      </c>
      <c r="F6" s="7">
        <v>3.75</v>
      </c>
      <c r="K6" s="5" t="s">
        <v>12</v>
      </c>
      <c r="L6" s="2">
        <v>1500</v>
      </c>
      <c r="N6" s="5" t="s">
        <v>12</v>
      </c>
      <c r="O6" s="2">
        <v>1500</v>
      </c>
      <c r="P6" s="7">
        <v>3.6500000000000004</v>
      </c>
    </row>
    <row r="7" spans="1:16" x14ac:dyDescent="0.35">
      <c r="E7" s="5" t="s">
        <v>25</v>
      </c>
      <c r="F7" s="7">
        <v>3.7</v>
      </c>
      <c r="K7" s="5" t="s">
        <v>7</v>
      </c>
      <c r="L7" s="2">
        <v>1250</v>
      </c>
      <c r="N7" s="5" t="s">
        <v>7</v>
      </c>
      <c r="O7" s="2">
        <v>1250</v>
      </c>
      <c r="P7" s="7">
        <v>3.7</v>
      </c>
    </row>
    <row r="8" spans="1:16" x14ac:dyDescent="0.35">
      <c r="E8" s="5" t="s">
        <v>22</v>
      </c>
      <c r="F8" s="7">
        <v>3.6799999999999997</v>
      </c>
      <c r="K8" s="5" t="s">
        <v>13</v>
      </c>
      <c r="L8" s="2">
        <v>1050</v>
      </c>
      <c r="N8" s="5" t="s">
        <v>13</v>
      </c>
      <c r="O8" s="2">
        <v>1050</v>
      </c>
      <c r="P8" s="7">
        <v>4.55</v>
      </c>
    </row>
    <row r="9" spans="1:16" x14ac:dyDescent="0.35">
      <c r="E9" s="5" t="s">
        <v>33</v>
      </c>
      <c r="F9" s="7">
        <v>3.8904761904761904</v>
      </c>
      <c r="K9" s="5" t="s">
        <v>11</v>
      </c>
      <c r="L9" s="2">
        <v>1050</v>
      </c>
      <c r="N9" s="5" t="s">
        <v>11</v>
      </c>
      <c r="O9" s="2">
        <v>1050</v>
      </c>
      <c r="P9" s="7">
        <v>3.95</v>
      </c>
    </row>
    <row r="10" spans="1:16" x14ac:dyDescent="0.35">
      <c r="K10" s="5" t="s">
        <v>6</v>
      </c>
      <c r="L10" s="2">
        <v>900</v>
      </c>
      <c r="N10" s="5" t="s">
        <v>6</v>
      </c>
      <c r="O10" s="2">
        <v>900</v>
      </c>
      <c r="P10" s="7">
        <v>3.85</v>
      </c>
    </row>
    <row r="11" spans="1:16" x14ac:dyDescent="0.35">
      <c r="K11" s="5" t="s">
        <v>14</v>
      </c>
      <c r="L11" s="2">
        <v>750</v>
      </c>
      <c r="N11" s="5" t="s">
        <v>14</v>
      </c>
      <c r="O11" s="2">
        <v>750</v>
      </c>
      <c r="P11" s="7">
        <v>3.5999999999999996</v>
      </c>
    </row>
    <row r="12" spans="1:16" x14ac:dyDescent="0.35">
      <c r="K12" s="5" t="s">
        <v>10</v>
      </c>
      <c r="L12" s="2">
        <v>500</v>
      </c>
      <c r="N12" s="5" t="s">
        <v>10</v>
      </c>
      <c r="O12" s="2">
        <v>500</v>
      </c>
      <c r="P12" s="7">
        <v>3.3</v>
      </c>
    </row>
    <row r="13" spans="1:16" x14ac:dyDescent="0.35">
      <c r="K13" s="5" t="s">
        <v>8</v>
      </c>
      <c r="L13" s="2">
        <v>500</v>
      </c>
      <c r="N13" s="5" t="s">
        <v>8</v>
      </c>
      <c r="O13" s="2">
        <v>500</v>
      </c>
      <c r="P13" s="7">
        <v>4.3</v>
      </c>
    </row>
    <row r="14" spans="1:16" x14ac:dyDescent="0.35">
      <c r="K14" s="5" t="s">
        <v>33</v>
      </c>
      <c r="L14" s="2">
        <v>13350</v>
      </c>
      <c r="N14" s="5" t="s">
        <v>33</v>
      </c>
      <c r="O14" s="2">
        <v>13350</v>
      </c>
      <c r="P14" s="7">
        <v>3.8904761904761904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3BB2B-2F0A-40C3-B6C9-348BDDEAFCC6}">
  <dimension ref="H11:S25"/>
  <sheetViews>
    <sheetView showGridLines="0" showRowColHeaders="0" tabSelected="1" zoomScale="80" zoomScaleNormal="46" workbookViewId="0">
      <selection activeCell="N8" sqref="N8"/>
    </sheetView>
  </sheetViews>
  <sheetFormatPr defaultRowHeight="14.5" x14ac:dyDescent="0.35"/>
  <sheetData>
    <row r="11" spans="19:19" ht="15.5" x14ac:dyDescent="0.35">
      <c r="S11" s="6" t="s">
        <v>38</v>
      </c>
    </row>
    <row r="25" spans="8:13" ht="15.5" x14ac:dyDescent="0.35">
      <c r="H25" s="6" t="s">
        <v>36</v>
      </c>
      <c r="L25" s="6"/>
      <c r="M25" s="6" t="s">
        <v>37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7"/>
  <sheetViews>
    <sheetView workbookViewId="0">
      <selection activeCell="A32" sqref="A32"/>
    </sheetView>
  </sheetViews>
  <sheetFormatPr defaultRowHeight="14.5" x14ac:dyDescent="0.35"/>
  <cols>
    <col min="1" max="1" width="22.7265625" bestFit="1" customWidth="1"/>
    <col min="2" max="2" width="14.453125" bestFit="1" customWidth="1"/>
    <col min="3" max="3" width="11.36328125" bestFit="1" customWidth="1"/>
    <col min="4" max="4" width="10.6328125" bestFit="1" customWidth="1"/>
    <col min="5" max="5" width="18.90625" bestFit="1" customWidth="1"/>
    <col min="6" max="6" width="12.81640625" bestFit="1" customWidth="1"/>
    <col min="8" max="8" width="11.453125" customWidth="1"/>
  </cols>
  <sheetData>
    <row r="1" spans="1:8" x14ac:dyDescent="0.35">
      <c r="A1" s="1" t="s">
        <v>0</v>
      </c>
      <c r="B1" s="1" t="s">
        <v>1</v>
      </c>
      <c r="C1" s="1" t="s">
        <v>2</v>
      </c>
      <c r="D1" s="1" t="s">
        <v>3</v>
      </c>
      <c r="E1" s="1" t="s">
        <v>5</v>
      </c>
      <c r="F1" s="1" t="s">
        <v>4</v>
      </c>
    </row>
    <row r="2" spans="1:8" x14ac:dyDescent="0.35">
      <c r="A2" t="s">
        <v>6</v>
      </c>
      <c r="B2" t="s">
        <v>16</v>
      </c>
      <c r="C2" t="s">
        <v>22</v>
      </c>
      <c r="D2">
        <v>3.1</v>
      </c>
      <c r="E2" t="s">
        <v>27</v>
      </c>
      <c r="F2" s="2">
        <v>1200</v>
      </c>
      <c r="H2" t="s">
        <v>29</v>
      </c>
    </row>
    <row r="3" spans="1:8" x14ac:dyDescent="0.35">
      <c r="A3" t="s">
        <v>7</v>
      </c>
      <c r="B3" t="s">
        <v>17</v>
      </c>
      <c r="C3" t="s">
        <v>23</v>
      </c>
      <c r="D3">
        <v>4.8</v>
      </c>
      <c r="E3" t="s">
        <v>28</v>
      </c>
      <c r="F3" s="2">
        <v>750</v>
      </c>
      <c r="H3" s="2">
        <f>SUM(Table2[Price])</f>
        <v>74350</v>
      </c>
    </row>
    <row r="4" spans="1:8" x14ac:dyDescent="0.35">
      <c r="A4" t="s">
        <v>6</v>
      </c>
      <c r="B4" t="s">
        <v>16</v>
      </c>
      <c r="C4" t="s">
        <v>22</v>
      </c>
      <c r="D4">
        <v>4.8</v>
      </c>
      <c r="E4" t="s">
        <v>27</v>
      </c>
      <c r="F4" s="2">
        <v>300</v>
      </c>
      <c r="H4" t="s">
        <v>30</v>
      </c>
    </row>
    <row r="5" spans="1:8" x14ac:dyDescent="0.35">
      <c r="A5" t="s">
        <v>10</v>
      </c>
      <c r="B5" t="s">
        <v>19</v>
      </c>
      <c r="C5" t="s">
        <v>23</v>
      </c>
      <c r="D5">
        <v>3.1</v>
      </c>
      <c r="E5" t="s">
        <v>27</v>
      </c>
      <c r="F5" s="2">
        <v>1200</v>
      </c>
      <c r="H5" s="2">
        <f>AVERAGE(F2:F5)</f>
        <v>862.5</v>
      </c>
    </row>
    <row r="6" spans="1:8" x14ac:dyDescent="0.35">
      <c r="A6" t="s">
        <v>11</v>
      </c>
      <c r="B6" t="s">
        <v>16</v>
      </c>
      <c r="C6" t="s">
        <v>22</v>
      </c>
      <c r="D6">
        <v>4.9000000000000004</v>
      </c>
      <c r="E6" t="s">
        <v>28</v>
      </c>
      <c r="F6" s="2">
        <v>750</v>
      </c>
      <c r="H6" t="s">
        <v>31</v>
      </c>
    </row>
    <row r="7" spans="1:8" x14ac:dyDescent="0.35">
      <c r="A7" t="s">
        <v>6</v>
      </c>
      <c r="B7" t="s">
        <v>16</v>
      </c>
      <c r="C7" t="s">
        <v>25</v>
      </c>
      <c r="D7">
        <v>4.4000000000000004</v>
      </c>
      <c r="E7" t="s">
        <v>27</v>
      </c>
      <c r="F7" s="2">
        <v>150</v>
      </c>
      <c r="H7" s="3">
        <f>AVERAGE(D:D)</f>
        <v>3.9769841269841253</v>
      </c>
    </row>
    <row r="8" spans="1:8" x14ac:dyDescent="0.35">
      <c r="A8" t="s">
        <v>13</v>
      </c>
      <c r="B8" t="s">
        <v>18</v>
      </c>
      <c r="C8" t="s">
        <v>22</v>
      </c>
      <c r="D8">
        <v>4.7</v>
      </c>
      <c r="E8" t="s">
        <v>28</v>
      </c>
      <c r="F8" s="2">
        <v>500</v>
      </c>
    </row>
    <row r="9" spans="1:8" x14ac:dyDescent="0.35">
      <c r="A9" t="s">
        <v>11</v>
      </c>
      <c r="B9" t="s">
        <v>17</v>
      </c>
      <c r="C9" t="s">
        <v>26</v>
      </c>
      <c r="D9">
        <v>3.6</v>
      </c>
      <c r="E9" t="s">
        <v>28</v>
      </c>
      <c r="F9" s="2">
        <v>1200</v>
      </c>
    </row>
    <row r="10" spans="1:8" x14ac:dyDescent="0.35">
      <c r="A10" t="s">
        <v>10</v>
      </c>
      <c r="B10" t="s">
        <v>18</v>
      </c>
      <c r="C10" t="s">
        <v>25</v>
      </c>
      <c r="D10">
        <v>4</v>
      </c>
      <c r="E10" t="s">
        <v>27</v>
      </c>
      <c r="F10" s="2">
        <v>300</v>
      </c>
    </row>
    <row r="11" spans="1:8" x14ac:dyDescent="0.35">
      <c r="A11" t="s">
        <v>6</v>
      </c>
      <c r="B11" t="s">
        <v>20</v>
      </c>
      <c r="C11" t="s">
        <v>26</v>
      </c>
      <c r="D11">
        <v>4.7</v>
      </c>
      <c r="E11" t="s">
        <v>27</v>
      </c>
      <c r="F11" s="2">
        <v>750</v>
      </c>
    </row>
    <row r="12" spans="1:8" x14ac:dyDescent="0.35">
      <c r="A12" t="s">
        <v>12</v>
      </c>
      <c r="B12" t="s">
        <v>21</v>
      </c>
      <c r="C12" t="s">
        <v>24</v>
      </c>
      <c r="D12">
        <v>3.9</v>
      </c>
      <c r="E12" t="s">
        <v>28</v>
      </c>
      <c r="F12" s="2">
        <v>150</v>
      </c>
    </row>
    <row r="13" spans="1:8" x14ac:dyDescent="0.35">
      <c r="A13" t="s">
        <v>14</v>
      </c>
      <c r="B13" t="s">
        <v>16</v>
      </c>
      <c r="C13" t="s">
        <v>22</v>
      </c>
      <c r="D13">
        <v>4.7</v>
      </c>
      <c r="E13" t="s">
        <v>27</v>
      </c>
      <c r="F13" s="2">
        <v>500</v>
      </c>
    </row>
    <row r="14" spans="1:8" x14ac:dyDescent="0.35">
      <c r="A14" t="s">
        <v>8</v>
      </c>
      <c r="B14" t="s">
        <v>21</v>
      </c>
      <c r="C14" t="s">
        <v>22</v>
      </c>
      <c r="D14">
        <v>4.7</v>
      </c>
      <c r="E14" t="s">
        <v>28</v>
      </c>
      <c r="F14" s="2">
        <v>750</v>
      </c>
    </row>
    <row r="15" spans="1:8" x14ac:dyDescent="0.35">
      <c r="A15" t="s">
        <v>8</v>
      </c>
      <c r="B15" t="s">
        <v>18</v>
      </c>
      <c r="C15" t="s">
        <v>22</v>
      </c>
      <c r="D15">
        <v>3.6</v>
      </c>
      <c r="E15" t="s">
        <v>28</v>
      </c>
      <c r="F15" s="2">
        <v>300</v>
      </c>
    </row>
    <row r="16" spans="1:8" x14ac:dyDescent="0.35">
      <c r="A16" t="s">
        <v>9</v>
      </c>
      <c r="B16" t="s">
        <v>20</v>
      </c>
      <c r="C16" t="s">
        <v>24</v>
      </c>
      <c r="D16">
        <v>4.0999999999999996</v>
      </c>
      <c r="E16" t="s">
        <v>27</v>
      </c>
      <c r="F16" s="2">
        <v>750</v>
      </c>
    </row>
    <row r="17" spans="1:6" x14ac:dyDescent="0.35">
      <c r="A17" t="s">
        <v>6</v>
      </c>
      <c r="B17" t="s">
        <v>20</v>
      </c>
      <c r="C17" t="s">
        <v>25</v>
      </c>
      <c r="D17">
        <v>3</v>
      </c>
      <c r="E17" t="s">
        <v>27</v>
      </c>
      <c r="F17" s="2">
        <v>150</v>
      </c>
    </row>
    <row r="18" spans="1:6" x14ac:dyDescent="0.35">
      <c r="A18" t="s">
        <v>6</v>
      </c>
      <c r="B18" t="s">
        <v>19</v>
      </c>
      <c r="C18" t="s">
        <v>23</v>
      </c>
      <c r="D18">
        <v>4.0999999999999996</v>
      </c>
      <c r="E18" t="s">
        <v>27</v>
      </c>
      <c r="F18" s="2">
        <v>750</v>
      </c>
    </row>
    <row r="19" spans="1:6" x14ac:dyDescent="0.35">
      <c r="A19" t="s">
        <v>14</v>
      </c>
      <c r="B19" t="s">
        <v>20</v>
      </c>
      <c r="C19" t="s">
        <v>22</v>
      </c>
      <c r="D19">
        <v>3.6</v>
      </c>
      <c r="E19" t="s">
        <v>28</v>
      </c>
      <c r="F19" s="2">
        <v>300</v>
      </c>
    </row>
    <row r="20" spans="1:6" x14ac:dyDescent="0.35">
      <c r="A20" t="s">
        <v>10</v>
      </c>
      <c r="B20" t="s">
        <v>16</v>
      </c>
      <c r="C20" t="s">
        <v>26</v>
      </c>
      <c r="D20">
        <v>3.3</v>
      </c>
      <c r="E20" t="s">
        <v>27</v>
      </c>
      <c r="F20" s="2">
        <v>150</v>
      </c>
    </row>
    <row r="21" spans="1:6" x14ac:dyDescent="0.35">
      <c r="A21" t="s">
        <v>11</v>
      </c>
      <c r="B21" t="s">
        <v>20</v>
      </c>
      <c r="C21" t="s">
        <v>26</v>
      </c>
      <c r="D21">
        <v>4.8</v>
      </c>
      <c r="E21" t="s">
        <v>28</v>
      </c>
      <c r="F21" s="2">
        <v>750</v>
      </c>
    </row>
    <row r="22" spans="1:6" x14ac:dyDescent="0.35">
      <c r="A22" t="s">
        <v>8</v>
      </c>
      <c r="B22" t="s">
        <v>21</v>
      </c>
      <c r="C22" t="s">
        <v>26</v>
      </c>
      <c r="D22">
        <v>4.0999999999999996</v>
      </c>
      <c r="E22" t="s">
        <v>27</v>
      </c>
      <c r="F22" s="2">
        <v>300</v>
      </c>
    </row>
    <row r="23" spans="1:6" x14ac:dyDescent="0.35">
      <c r="A23" t="s">
        <v>7</v>
      </c>
      <c r="B23" t="s">
        <v>20</v>
      </c>
      <c r="C23" t="s">
        <v>22</v>
      </c>
      <c r="D23">
        <v>3.7</v>
      </c>
      <c r="E23" t="s">
        <v>27</v>
      </c>
      <c r="F23" s="2">
        <v>750</v>
      </c>
    </row>
    <row r="24" spans="1:6" x14ac:dyDescent="0.35">
      <c r="A24" t="s">
        <v>8</v>
      </c>
      <c r="B24" t="s">
        <v>19</v>
      </c>
      <c r="C24" t="s">
        <v>22</v>
      </c>
      <c r="D24">
        <v>4.8</v>
      </c>
      <c r="E24" t="s">
        <v>28</v>
      </c>
      <c r="F24" s="2">
        <v>500</v>
      </c>
    </row>
    <row r="25" spans="1:6" x14ac:dyDescent="0.35">
      <c r="A25" t="s">
        <v>7</v>
      </c>
      <c r="B25" t="s">
        <v>21</v>
      </c>
      <c r="C25" t="s">
        <v>22</v>
      </c>
      <c r="D25">
        <v>4.3</v>
      </c>
      <c r="E25" t="s">
        <v>28</v>
      </c>
      <c r="F25" s="2">
        <v>150</v>
      </c>
    </row>
    <row r="26" spans="1:6" x14ac:dyDescent="0.35">
      <c r="A26" t="s">
        <v>6</v>
      </c>
      <c r="B26" t="s">
        <v>17</v>
      </c>
      <c r="C26" t="s">
        <v>22</v>
      </c>
      <c r="D26">
        <v>4.3</v>
      </c>
      <c r="E26" t="s">
        <v>27</v>
      </c>
      <c r="F26" s="2">
        <v>500</v>
      </c>
    </row>
    <row r="27" spans="1:6" x14ac:dyDescent="0.35">
      <c r="A27" t="s">
        <v>15</v>
      </c>
      <c r="B27" t="s">
        <v>16</v>
      </c>
      <c r="C27" t="s">
        <v>22</v>
      </c>
      <c r="D27">
        <v>3.2</v>
      </c>
      <c r="E27" t="s">
        <v>28</v>
      </c>
      <c r="F27" s="2">
        <v>500</v>
      </c>
    </row>
    <row r="28" spans="1:6" x14ac:dyDescent="0.35">
      <c r="A28" t="s">
        <v>6</v>
      </c>
      <c r="B28" t="s">
        <v>17</v>
      </c>
      <c r="C28" t="s">
        <v>26</v>
      </c>
      <c r="D28">
        <v>3.1</v>
      </c>
      <c r="E28" t="s">
        <v>28</v>
      </c>
      <c r="F28" s="2">
        <v>1200</v>
      </c>
    </row>
    <row r="29" spans="1:6" x14ac:dyDescent="0.35">
      <c r="A29" t="s">
        <v>12</v>
      </c>
      <c r="B29" t="s">
        <v>17</v>
      </c>
      <c r="C29" t="s">
        <v>25</v>
      </c>
      <c r="D29">
        <v>4.4000000000000004</v>
      </c>
      <c r="E29" t="s">
        <v>27</v>
      </c>
      <c r="F29" s="2">
        <v>1200</v>
      </c>
    </row>
    <row r="30" spans="1:6" x14ac:dyDescent="0.35">
      <c r="A30" t="s">
        <v>13</v>
      </c>
      <c r="B30" t="s">
        <v>18</v>
      </c>
      <c r="C30" t="s">
        <v>24</v>
      </c>
      <c r="D30">
        <v>4.0999999999999996</v>
      </c>
      <c r="E30" t="s">
        <v>28</v>
      </c>
      <c r="F30" s="2">
        <v>500</v>
      </c>
    </row>
    <row r="31" spans="1:6" x14ac:dyDescent="0.35">
      <c r="A31" t="s">
        <v>13</v>
      </c>
      <c r="B31" t="s">
        <v>19</v>
      </c>
      <c r="C31" t="s">
        <v>24</v>
      </c>
      <c r="D31">
        <v>4.8</v>
      </c>
      <c r="E31" t="s">
        <v>28</v>
      </c>
      <c r="F31" s="2">
        <v>750</v>
      </c>
    </row>
    <row r="32" spans="1:6" x14ac:dyDescent="0.35">
      <c r="A32" t="s">
        <v>9</v>
      </c>
      <c r="B32" t="s">
        <v>19</v>
      </c>
      <c r="C32" t="s">
        <v>24</v>
      </c>
      <c r="D32">
        <v>4.0999999999999996</v>
      </c>
      <c r="E32" t="s">
        <v>28</v>
      </c>
      <c r="F32" s="2">
        <v>750</v>
      </c>
    </row>
    <row r="33" spans="1:6" x14ac:dyDescent="0.35">
      <c r="A33" t="s">
        <v>12</v>
      </c>
      <c r="B33" t="s">
        <v>19</v>
      </c>
      <c r="C33" t="s">
        <v>25</v>
      </c>
      <c r="D33">
        <v>3.1</v>
      </c>
      <c r="E33" t="s">
        <v>27</v>
      </c>
      <c r="F33" s="2">
        <v>750</v>
      </c>
    </row>
    <row r="34" spans="1:6" x14ac:dyDescent="0.35">
      <c r="A34" t="s">
        <v>12</v>
      </c>
      <c r="B34" t="s">
        <v>20</v>
      </c>
      <c r="C34" t="s">
        <v>22</v>
      </c>
      <c r="D34">
        <v>3.7</v>
      </c>
      <c r="E34" t="s">
        <v>27</v>
      </c>
      <c r="F34" s="2">
        <v>1200</v>
      </c>
    </row>
    <row r="35" spans="1:6" x14ac:dyDescent="0.35">
      <c r="A35" t="s">
        <v>14</v>
      </c>
      <c r="B35" t="s">
        <v>19</v>
      </c>
      <c r="C35" t="s">
        <v>26</v>
      </c>
      <c r="D35">
        <v>3.1</v>
      </c>
      <c r="E35" t="s">
        <v>28</v>
      </c>
      <c r="F35" s="2">
        <v>500</v>
      </c>
    </row>
    <row r="36" spans="1:6" x14ac:dyDescent="0.35">
      <c r="A36" t="s">
        <v>8</v>
      </c>
      <c r="B36" t="s">
        <v>17</v>
      </c>
      <c r="C36" t="s">
        <v>25</v>
      </c>
      <c r="D36">
        <v>3.8</v>
      </c>
      <c r="E36" t="s">
        <v>28</v>
      </c>
      <c r="F36" s="2">
        <v>300</v>
      </c>
    </row>
    <row r="37" spans="1:6" x14ac:dyDescent="0.35">
      <c r="A37" t="s">
        <v>11</v>
      </c>
      <c r="B37" t="s">
        <v>21</v>
      </c>
      <c r="C37" t="s">
        <v>24</v>
      </c>
      <c r="D37">
        <v>3.3</v>
      </c>
      <c r="E37" t="s">
        <v>27</v>
      </c>
      <c r="F37" s="2">
        <v>1200</v>
      </c>
    </row>
    <row r="38" spans="1:6" x14ac:dyDescent="0.35">
      <c r="A38" t="s">
        <v>8</v>
      </c>
      <c r="B38" t="s">
        <v>17</v>
      </c>
      <c r="C38" t="s">
        <v>22</v>
      </c>
      <c r="D38">
        <v>3.2</v>
      </c>
      <c r="E38" t="s">
        <v>28</v>
      </c>
      <c r="F38" s="2">
        <v>1200</v>
      </c>
    </row>
    <row r="39" spans="1:6" x14ac:dyDescent="0.35">
      <c r="A39" t="s">
        <v>12</v>
      </c>
      <c r="B39" t="s">
        <v>16</v>
      </c>
      <c r="C39" t="s">
        <v>26</v>
      </c>
      <c r="D39">
        <v>4.9000000000000004</v>
      </c>
      <c r="E39" t="s">
        <v>28</v>
      </c>
      <c r="F39" s="2">
        <v>300</v>
      </c>
    </row>
    <row r="40" spans="1:6" x14ac:dyDescent="0.35">
      <c r="A40" t="s">
        <v>8</v>
      </c>
      <c r="B40" t="s">
        <v>16</v>
      </c>
      <c r="C40" t="s">
        <v>25</v>
      </c>
      <c r="D40">
        <v>4.5</v>
      </c>
      <c r="E40" t="s">
        <v>28</v>
      </c>
      <c r="F40" s="2">
        <v>500</v>
      </c>
    </row>
    <row r="41" spans="1:6" x14ac:dyDescent="0.35">
      <c r="A41" t="s">
        <v>15</v>
      </c>
      <c r="B41" t="s">
        <v>21</v>
      </c>
      <c r="C41" t="s">
        <v>24</v>
      </c>
      <c r="D41">
        <v>4</v>
      </c>
      <c r="E41" t="s">
        <v>28</v>
      </c>
      <c r="F41" s="2">
        <v>300</v>
      </c>
    </row>
    <row r="42" spans="1:6" x14ac:dyDescent="0.35">
      <c r="A42" t="s">
        <v>12</v>
      </c>
      <c r="B42" t="s">
        <v>16</v>
      </c>
      <c r="C42" t="s">
        <v>26</v>
      </c>
      <c r="D42">
        <v>3.1</v>
      </c>
      <c r="E42" t="s">
        <v>27</v>
      </c>
      <c r="F42" s="2">
        <v>300</v>
      </c>
    </row>
    <row r="43" spans="1:6" x14ac:dyDescent="0.35">
      <c r="A43" t="s">
        <v>9</v>
      </c>
      <c r="B43" t="s">
        <v>20</v>
      </c>
      <c r="C43" t="s">
        <v>25</v>
      </c>
      <c r="D43">
        <v>3.9</v>
      </c>
      <c r="E43" t="s">
        <v>28</v>
      </c>
      <c r="F43" s="2">
        <v>750</v>
      </c>
    </row>
    <row r="44" spans="1:6" x14ac:dyDescent="0.35">
      <c r="A44" t="s">
        <v>9</v>
      </c>
      <c r="B44" t="s">
        <v>17</v>
      </c>
      <c r="C44" t="s">
        <v>22</v>
      </c>
      <c r="D44">
        <v>4.4000000000000004</v>
      </c>
      <c r="E44" t="s">
        <v>28</v>
      </c>
      <c r="F44" s="2">
        <v>1200</v>
      </c>
    </row>
    <row r="45" spans="1:6" x14ac:dyDescent="0.35">
      <c r="A45" t="s">
        <v>15</v>
      </c>
      <c r="B45" t="s">
        <v>21</v>
      </c>
      <c r="C45" t="s">
        <v>24</v>
      </c>
      <c r="D45">
        <v>3.5</v>
      </c>
      <c r="E45" t="s">
        <v>27</v>
      </c>
      <c r="F45" s="2">
        <v>150</v>
      </c>
    </row>
    <row r="46" spans="1:6" x14ac:dyDescent="0.35">
      <c r="A46" t="s">
        <v>9</v>
      </c>
      <c r="B46" t="s">
        <v>21</v>
      </c>
      <c r="C46" t="s">
        <v>24</v>
      </c>
      <c r="D46">
        <v>3.5</v>
      </c>
      <c r="E46" t="s">
        <v>28</v>
      </c>
      <c r="F46" s="2">
        <v>300</v>
      </c>
    </row>
    <row r="47" spans="1:6" x14ac:dyDescent="0.35">
      <c r="A47" t="s">
        <v>12</v>
      </c>
      <c r="B47" t="s">
        <v>19</v>
      </c>
      <c r="C47" t="s">
        <v>23</v>
      </c>
      <c r="D47">
        <v>4.7</v>
      </c>
      <c r="E47" t="s">
        <v>27</v>
      </c>
      <c r="F47" s="2">
        <v>1200</v>
      </c>
    </row>
    <row r="48" spans="1:6" x14ac:dyDescent="0.35">
      <c r="A48" t="s">
        <v>7</v>
      </c>
      <c r="B48" t="s">
        <v>18</v>
      </c>
      <c r="C48" t="s">
        <v>26</v>
      </c>
      <c r="D48">
        <v>3.8</v>
      </c>
      <c r="E48" t="s">
        <v>28</v>
      </c>
      <c r="F48" s="2">
        <v>750</v>
      </c>
    </row>
    <row r="49" spans="1:6" x14ac:dyDescent="0.35">
      <c r="A49" t="s">
        <v>11</v>
      </c>
      <c r="B49" t="s">
        <v>16</v>
      </c>
      <c r="C49" t="s">
        <v>25</v>
      </c>
      <c r="D49">
        <v>3.4</v>
      </c>
      <c r="E49" t="s">
        <v>28</v>
      </c>
      <c r="F49" s="2">
        <v>300</v>
      </c>
    </row>
    <row r="50" spans="1:6" x14ac:dyDescent="0.35">
      <c r="A50" t="s">
        <v>13</v>
      </c>
      <c r="B50" t="s">
        <v>18</v>
      </c>
      <c r="C50" t="s">
        <v>22</v>
      </c>
      <c r="D50">
        <v>3.8</v>
      </c>
      <c r="E50" t="s">
        <v>28</v>
      </c>
      <c r="F50" s="2">
        <v>750</v>
      </c>
    </row>
    <row r="51" spans="1:6" x14ac:dyDescent="0.35">
      <c r="A51" t="s">
        <v>7</v>
      </c>
      <c r="B51" t="s">
        <v>20</v>
      </c>
      <c r="C51" t="s">
        <v>25</v>
      </c>
      <c r="D51">
        <v>3.7</v>
      </c>
      <c r="E51" t="s">
        <v>28</v>
      </c>
      <c r="F51" s="2">
        <v>500</v>
      </c>
    </row>
    <row r="52" spans="1:6" x14ac:dyDescent="0.35">
      <c r="A52" t="s">
        <v>7</v>
      </c>
      <c r="B52" t="s">
        <v>16</v>
      </c>
      <c r="C52" t="s">
        <v>24</v>
      </c>
      <c r="D52">
        <v>4.0999999999999996</v>
      </c>
      <c r="E52" t="s">
        <v>27</v>
      </c>
      <c r="F52" s="2">
        <v>500</v>
      </c>
    </row>
    <row r="53" spans="1:6" x14ac:dyDescent="0.35">
      <c r="A53" t="s">
        <v>9</v>
      </c>
      <c r="B53" t="s">
        <v>19</v>
      </c>
      <c r="C53" t="s">
        <v>26</v>
      </c>
      <c r="D53">
        <v>4.3</v>
      </c>
      <c r="E53" t="s">
        <v>27</v>
      </c>
      <c r="F53" s="2">
        <v>150</v>
      </c>
    </row>
    <row r="54" spans="1:6" x14ac:dyDescent="0.35">
      <c r="A54" t="s">
        <v>9</v>
      </c>
      <c r="B54" t="s">
        <v>18</v>
      </c>
      <c r="C54" t="s">
        <v>24</v>
      </c>
      <c r="D54">
        <v>3.9</v>
      </c>
      <c r="E54" t="s">
        <v>28</v>
      </c>
      <c r="F54" s="2">
        <v>500</v>
      </c>
    </row>
    <row r="55" spans="1:6" x14ac:dyDescent="0.35">
      <c r="A55" t="s">
        <v>12</v>
      </c>
      <c r="B55" t="s">
        <v>19</v>
      </c>
      <c r="C55" t="s">
        <v>26</v>
      </c>
      <c r="D55">
        <v>4.8</v>
      </c>
      <c r="E55" t="s">
        <v>28</v>
      </c>
      <c r="F55" s="2">
        <v>300</v>
      </c>
    </row>
    <row r="56" spans="1:6" x14ac:dyDescent="0.35">
      <c r="A56" t="s">
        <v>10</v>
      </c>
      <c r="B56" t="s">
        <v>19</v>
      </c>
      <c r="C56" t="s">
        <v>26</v>
      </c>
      <c r="D56">
        <v>4.4000000000000004</v>
      </c>
      <c r="E56" t="s">
        <v>28</v>
      </c>
      <c r="F56" s="2">
        <v>300</v>
      </c>
    </row>
    <row r="57" spans="1:6" x14ac:dyDescent="0.35">
      <c r="A57" t="s">
        <v>13</v>
      </c>
      <c r="B57" t="s">
        <v>19</v>
      </c>
      <c r="C57" t="s">
        <v>22</v>
      </c>
      <c r="D57">
        <v>3.6</v>
      </c>
      <c r="E57" t="s">
        <v>27</v>
      </c>
      <c r="F57" s="2">
        <v>1200</v>
      </c>
    </row>
    <row r="58" spans="1:6" x14ac:dyDescent="0.35">
      <c r="A58" t="s">
        <v>8</v>
      </c>
      <c r="B58" t="s">
        <v>18</v>
      </c>
      <c r="C58" t="s">
        <v>24</v>
      </c>
      <c r="D58">
        <v>4.2</v>
      </c>
      <c r="E58" t="s">
        <v>28</v>
      </c>
      <c r="F58" s="2">
        <v>150</v>
      </c>
    </row>
    <row r="59" spans="1:6" x14ac:dyDescent="0.35">
      <c r="A59" t="s">
        <v>13</v>
      </c>
      <c r="B59" t="s">
        <v>20</v>
      </c>
      <c r="C59" t="s">
        <v>26</v>
      </c>
      <c r="D59">
        <v>4.3</v>
      </c>
      <c r="E59" t="s">
        <v>27</v>
      </c>
      <c r="F59" s="2">
        <v>300</v>
      </c>
    </row>
    <row r="60" spans="1:6" x14ac:dyDescent="0.35">
      <c r="A60" t="s">
        <v>10</v>
      </c>
      <c r="B60" t="s">
        <v>19</v>
      </c>
      <c r="C60" t="s">
        <v>24</v>
      </c>
      <c r="D60">
        <v>4.5999999999999996</v>
      </c>
      <c r="E60" t="s">
        <v>28</v>
      </c>
      <c r="F60" s="2">
        <v>150</v>
      </c>
    </row>
    <row r="61" spans="1:6" x14ac:dyDescent="0.35">
      <c r="A61" t="s">
        <v>12</v>
      </c>
      <c r="B61" t="s">
        <v>21</v>
      </c>
      <c r="C61" t="s">
        <v>25</v>
      </c>
      <c r="D61">
        <v>4.4000000000000004</v>
      </c>
      <c r="E61" t="s">
        <v>28</v>
      </c>
      <c r="F61" s="2">
        <v>1200</v>
      </c>
    </row>
    <row r="62" spans="1:6" x14ac:dyDescent="0.35">
      <c r="A62" t="s">
        <v>8</v>
      </c>
      <c r="B62" t="s">
        <v>16</v>
      </c>
      <c r="C62" t="s">
        <v>24</v>
      </c>
      <c r="D62">
        <v>4.0999999999999996</v>
      </c>
      <c r="E62" t="s">
        <v>27</v>
      </c>
      <c r="F62" s="2">
        <v>300</v>
      </c>
    </row>
    <row r="63" spans="1:6" x14ac:dyDescent="0.35">
      <c r="A63" t="s">
        <v>13</v>
      </c>
      <c r="B63" t="s">
        <v>20</v>
      </c>
      <c r="C63" t="s">
        <v>23</v>
      </c>
      <c r="D63">
        <v>4.8</v>
      </c>
      <c r="E63" t="s">
        <v>28</v>
      </c>
      <c r="F63" s="2">
        <v>750</v>
      </c>
    </row>
    <row r="64" spans="1:6" x14ac:dyDescent="0.35">
      <c r="A64" t="s">
        <v>9</v>
      </c>
      <c r="B64" t="s">
        <v>20</v>
      </c>
      <c r="C64" t="s">
        <v>26</v>
      </c>
      <c r="D64">
        <v>4.0999999999999996</v>
      </c>
      <c r="E64" t="s">
        <v>28</v>
      </c>
      <c r="F64" s="2">
        <v>1200</v>
      </c>
    </row>
    <row r="65" spans="1:6" x14ac:dyDescent="0.35">
      <c r="A65" t="s">
        <v>11</v>
      </c>
      <c r="B65" t="s">
        <v>20</v>
      </c>
      <c r="C65" t="s">
        <v>22</v>
      </c>
      <c r="D65">
        <v>3.1</v>
      </c>
      <c r="E65" t="s">
        <v>27</v>
      </c>
      <c r="F65" s="2">
        <v>300</v>
      </c>
    </row>
    <row r="66" spans="1:6" x14ac:dyDescent="0.35">
      <c r="A66" t="s">
        <v>6</v>
      </c>
      <c r="B66" t="s">
        <v>19</v>
      </c>
      <c r="C66" t="s">
        <v>22</v>
      </c>
      <c r="D66">
        <v>3.1</v>
      </c>
      <c r="E66" t="s">
        <v>27</v>
      </c>
      <c r="F66" s="2">
        <v>750</v>
      </c>
    </row>
    <row r="67" spans="1:6" x14ac:dyDescent="0.35">
      <c r="A67" t="s">
        <v>13</v>
      </c>
      <c r="B67" t="s">
        <v>17</v>
      </c>
      <c r="C67" t="s">
        <v>25</v>
      </c>
      <c r="D67">
        <v>4</v>
      </c>
      <c r="E67" t="s">
        <v>28</v>
      </c>
      <c r="F67" s="2">
        <v>1200</v>
      </c>
    </row>
    <row r="68" spans="1:6" x14ac:dyDescent="0.35">
      <c r="A68" t="s">
        <v>15</v>
      </c>
      <c r="B68" t="s">
        <v>18</v>
      </c>
      <c r="C68" t="s">
        <v>22</v>
      </c>
      <c r="D68">
        <v>4.4000000000000004</v>
      </c>
      <c r="E68" t="s">
        <v>28</v>
      </c>
      <c r="F68" s="2">
        <v>300</v>
      </c>
    </row>
    <row r="69" spans="1:6" x14ac:dyDescent="0.35">
      <c r="A69" t="s">
        <v>15</v>
      </c>
      <c r="B69" t="s">
        <v>16</v>
      </c>
      <c r="C69" t="s">
        <v>25</v>
      </c>
      <c r="D69">
        <v>3.3</v>
      </c>
      <c r="E69" t="s">
        <v>28</v>
      </c>
      <c r="F69" s="2">
        <v>500</v>
      </c>
    </row>
    <row r="70" spans="1:6" x14ac:dyDescent="0.35">
      <c r="A70" t="s">
        <v>14</v>
      </c>
      <c r="B70" t="s">
        <v>16</v>
      </c>
      <c r="C70" t="s">
        <v>22</v>
      </c>
      <c r="D70">
        <v>3.7</v>
      </c>
      <c r="E70" t="s">
        <v>27</v>
      </c>
      <c r="F70" s="2">
        <v>750</v>
      </c>
    </row>
    <row r="71" spans="1:6" x14ac:dyDescent="0.35">
      <c r="A71" t="s">
        <v>8</v>
      </c>
      <c r="B71" t="s">
        <v>18</v>
      </c>
      <c r="C71" t="s">
        <v>26</v>
      </c>
      <c r="D71">
        <v>4.4000000000000004</v>
      </c>
      <c r="E71" t="s">
        <v>28</v>
      </c>
      <c r="F71" s="2">
        <v>150</v>
      </c>
    </row>
    <row r="72" spans="1:6" x14ac:dyDescent="0.35">
      <c r="A72" t="s">
        <v>8</v>
      </c>
      <c r="B72" t="s">
        <v>18</v>
      </c>
      <c r="C72" t="s">
        <v>26</v>
      </c>
      <c r="D72">
        <v>4.9000000000000004</v>
      </c>
      <c r="E72" t="s">
        <v>27</v>
      </c>
      <c r="F72" s="2">
        <v>500</v>
      </c>
    </row>
    <row r="73" spans="1:6" x14ac:dyDescent="0.35">
      <c r="A73" t="s">
        <v>14</v>
      </c>
      <c r="B73" t="s">
        <v>17</v>
      </c>
      <c r="C73" t="s">
        <v>24</v>
      </c>
      <c r="D73">
        <v>4.3</v>
      </c>
      <c r="E73" t="s">
        <v>27</v>
      </c>
      <c r="F73" s="2">
        <v>500</v>
      </c>
    </row>
    <row r="74" spans="1:6" x14ac:dyDescent="0.35">
      <c r="A74" t="s">
        <v>14</v>
      </c>
      <c r="B74" t="s">
        <v>20</v>
      </c>
      <c r="C74" t="s">
        <v>24</v>
      </c>
      <c r="D74">
        <v>3.4</v>
      </c>
      <c r="E74" t="s">
        <v>28</v>
      </c>
      <c r="F74" s="2">
        <v>150</v>
      </c>
    </row>
    <row r="75" spans="1:6" x14ac:dyDescent="0.35">
      <c r="A75" t="s">
        <v>8</v>
      </c>
      <c r="B75" t="s">
        <v>18</v>
      </c>
      <c r="C75" t="s">
        <v>22</v>
      </c>
      <c r="D75">
        <v>4.5</v>
      </c>
      <c r="E75" t="s">
        <v>28</v>
      </c>
      <c r="F75" s="2">
        <v>500</v>
      </c>
    </row>
    <row r="76" spans="1:6" x14ac:dyDescent="0.35">
      <c r="A76" t="s">
        <v>11</v>
      </c>
      <c r="B76" t="s">
        <v>16</v>
      </c>
      <c r="C76" t="s">
        <v>24</v>
      </c>
      <c r="D76">
        <v>3.4</v>
      </c>
      <c r="E76" t="s">
        <v>28</v>
      </c>
      <c r="F76" s="2">
        <v>300</v>
      </c>
    </row>
    <row r="77" spans="1:6" x14ac:dyDescent="0.35">
      <c r="A77" t="s">
        <v>7</v>
      </c>
      <c r="B77" t="s">
        <v>19</v>
      </c>
      <c r="C77" t="s">
        <v>25</v>
      </c>
      <c r="D77">
        <v>3.9</v>
      </c>
      <c r="E77" t="s">
        <v>28</v>
      </c>
      <c r="F77" s="2">
        <v>750</v>
      </c>
    </row>
    <row r="78" spans="1:6" x14ac:dyDescent="0.35">
      <c r="A78" t="s">
        <v>11</v>
      </c>
      <c r="B78" t="s">
        <v>16</v>
      </c>
      <c r="C78" t="s">
        <v>23</v>
      </c>
      <c r="D78">
        <v>3.9</v>
      </c>
      <c r="E78" t="s">
        <v>28</v>
      </c>
      <c r="F78" s="2">
        <v>750</v>
      </c>
    </row>
    <row r="79" spans="1:6" x14ac:dyDescent="0.35">
      <c r="A79" t="s">
        <v>7</v>
      </c>
      <c r="B79" t="s">
        <v>18</v>
      </c>
      <c r="C79" t="s">
        <v>24</v>
      </c>
      <c r="D79">
        <v>3.7</v>
      </c>
      <c r="E79" t="s">
        <v>28</v>
      </c>
      <c r="F79" s="2">
        <v>750</v>
      </c>
    </row>
    <row r="80" spans="1:6" x14ac:dyDescent="0.35">
      <c r="A80" t="s">
        <v>11</v>
      </c>
      <c r="B80" t="s">
        <v>21</v>
      </c>
      <c r="C80" t="s">
        <v>24</v>
      </c>
      <c r="D80">
        <v>3.3</v>
      </c>
      <c r="E80" t="s">
        <v>28</v>
      </c>
      <c r="F80" s="2">
        <v>300</v>
      </c>
    </row>
    <row r="81" spans="1:6" x14ac:dyDescent="0.35">
      <c r="A81" t="s">
        <v>12</v>
      </c>
      <c r="B81" t="s">
        <v>17</v>
      </c>
      <c r="C81" t="s">
        <v>22</v>
      </c>
      <c r="D81">
        <v>4.0999999999999996</v>
      </c>
      <c r="E81" t="s">
        <v>28</v>
      </c>
      <c r="F81" s="2">
        <v>500</v>
      </c>
    </row>
    <row r="82" spans="1:6" x14ac:dyDescent="0.35">
      <c r="A82" t="s">
        <v>13</v>
      </c>
      <c r="B82" t="s">
        <v>17</v>
      </c>
      <c r="C82" t="s">
        <v>24</v>
      </c>
      <c r="D82">
        <v>4.5999999999999996</v>
      </c>
      <c r="E82" t="s">
        <v>28</v>
      </c>
      <c r="F82" s="2">
        <v>300</v>
      </c>
    </row>
    <row r="83" spans="1:6" x14ac:dyDescent="0.35">
      <c r="A83" t="s">
        <v>7</v>
      </c>
      <c r="B83" t="s">
        <v>18</v>
      </c>
      <c r="C83" t="s">
        <v>24</v>
      </c>
      <c r="D83">
        <v>3.7</v>
      </c>
      <c r="E83" t="s">
        <v>27</v>
      </c>
      <c r="F83" s="2">
        <v>1200</v>
      </c>
    </row>
    <row r="84" spans="1:6" x14ac:dyDescent="0.35">
      <c r="A84" t="s">
        <v>13</v>
      </c>
      <c r="B84" t="s">
        <v>16</v>
      </c>
      <c r="C84" t="s">
        <v>23</v>
      </c>
      <c r="D84">
        <v>3.5</v>
      </c>
      <c r="E84" t="s">
        <v>28</v>
      </c>
      <c r="F84" s="2">
        <v>500</v>
      </c>
    </row>
    <row r="85" spans="1:6" x14ac:dyDescent="0.35">
      <c r="A85" t="s">
        <v>8</v>
      </c>
      <c r="B85" t="s">
        <v>21</v>
      </c>
      <c r="C85" t="s">
        <v>23</v>
      </c>
      <c r="D85">
        <v>4.4000000000000004</v>
      </c>
      <c r="E85" t="s">
        <v>27</v>
      </c>
      <c r="F85" s="2">
        <v>1200</v>
      </c>
    </row>
    <row r="86" spans="1:6" x14ac:dyDescent="0.35">
      <c r="A86" t="s">
        <v>10</v>
      </c>
      <c r="B86" t="s">
        <v>17</v>
      </c>
      <c r="C86" t="s">
        <v>26</v>
      </c>
      <c r="D86">
        <v>4.7</v>
      </c>
      <c r="E86" t="s">
        <v>28</v>
      </c>
      <c r="F86" s="2">
        <v>300</v>
      </c>
    </row>
    <row r="87" spans="1:6" x14ac:dyDescent="0.35">
      <c r="A87" t="s">
        <v>15</v>
      </c>
      <c r="B87" t="s">
        <v>20</v>
      </c>
      <c r="C87" t="s">
        <v>25</v>
      </c>
      <c r="D87">
        <v>3.4</v>
      </c>
      <c r="E87" t="s">
        <v>28</v>
      </c>
      <c r="F87" s="2">
        <v>750</v>
      </c>
    </row>
    <row r="88" spans="1:6" x14ac:dyDescent="0.35">
      <c r="A88" t="s">
        <v>14</v>
      </c>
      <c r="B88" t="s">
        <v>17</v>
      </c>
      <c r="C88" t="s">
        <v>22</v>
      </c>
      <c r="D88">
        <v>3.2</v>
      </c>
      <c r="E88" t="s">
        <v>28</v>
      </c>
      <c r="F88" s="2">
        <v>500</v>
      </c>
    </row>
    <row r="89" spans="1:6" x14ac:dyDescent="0.35">
      <c r="A89" t="s">
        <v>13</v>
      </c>
      <c r="B89" t="s">
        <v>19</v>
      </c>
      <c r="C89" t="s">
        <v>23</v>
      </c>
      <c r="D89">
        <v>3.7</v>
      </c>
      <c r="E89" t="s">
        <v>27</v>
      </c>
      <c r="F89" s="2">
        <v>150</v>
      </c>
    </row>
    <row r="90" spans="1:6" x14ac:dyDescent="0.35">
      <c r="A90" t="s">
        <v>15</v>
      </c>
      <c r="B90" t="s">
        <v>16</v>
      </c>
      <c r="C90" t="s">
        <v>23</v>
      </c>
      <c r="D90">
        <v>3.5</v>
      </c>
      <c r="E90" t="s">
        <v>27</v>
      </c>
      <c r="F90" s="2">
        <v>1200</v>
      </c>
    </row>
    <row r="91" spans="1:6" x14ac:dyDescent="0.35">
      <c r="A91" t="s">
        <v>15</v>
      </c>
      <c r="B91" t="s">
        <v>21</v>
      </c>
      <c r="C91" t="s">
        <v>23</v>
      </c>
      <c r="D91">
        <v>4.9000000000000004</v>
      </c>
      <c r="E91" t="s">
        <v>27</v>
      </c>
      <c r="F91" s="2">
        <v>300</v>
      </c>
    </row>
    <row r="92" spans="1:6" x14ac:dyDescent="0.35">
      <c r="A92" t="s">
        <v>10</v>
      </c>
      <c r="B92" t="s">
        <v>18</v>
      </c>
      <c r="C92" t="s">
        <v>23</v>
      </c>
      <c r="D92">
        <v>4.4000000000000004</v>
      </c>
      <c r="E92" t="s">
        <v>27</v>
      </c>
      <c r="F92" s="2">
        <v>300</v>
      </c>
    </row>
    <row r="93" spans="1:6" x14ac:dyDescent="0.35">
      <c r="A93" t="s">
        <v>9</v>
      </c>
      <c r="B93" t="s">
        <v>18</v>
      </c>
      <c r="C93" t="s">
        <v>25</v>
      </c>
      <c r="D93">
        <v>3</v>
      </c>
      <c r="E93" t="s">
        <v>27</v>
      </c>
      <c r="F93" s="2">
        <v>500</v>
      </c>
    </row>
    <row r="94" spans="1:6" x14ac:dyDescent="0.35">
      <c r="A94" t="s">
        <v>13</v>
      </c>
      <c r="B94" t="s">
        <v>17</v>
      </c>
      <c r="C94" t="s">
        <v>22</v>
      </c>
      <c r="D94">
        <v>4.3</v>
      </c>
      <c r="E94" t="s">
        <v>27</v>
      </c>
      <c r="F94" s="2">
        <v>500</v>
      </c>
    </row>
    <row r="95" spans="1:6" x14ac:dyDescent="0.35">
      <c r="A95" t="s">
        <v>15</v>
      </c>
      <c r="B95" t="s">
        <v>18</v>
      </c>
      <c r="C95" t="s">
        <v>26</v>
      </c>
      <c r="D95">
        <v>4</v>
      </c>
      <c r="E95" t="s">
        <v>27</v>
      </c>
      <c r="F95" s="2">
        <v>300</v>
      </c>
    </row>
    <row r="96" spans="1:6" x14ac:dyDescent="0.35">
      <c r="A96" t="s">
        <v>12</v>
      </c>
      <c r="B96" t="s">
        <v>20</v>
      </c>
      <c r="C96" t="s">
        <v>26</v>
      </c>
      <c r="D96">
        <v>3.6</v>
      </c>
      <c r="E96" t="s">
        <v>27</v>
      </c>
      <c r="F96" s="2">
        <v>300</v>
      </c>
    </row>
    <row r="97" spans="1:6" x14ac:dyDescent="0.35">
      <c r="A97" t="s">
        <v>8</v>
      </c>
      <c r="B97" t="s">
        <v>20</v>
      </c>
      <c r="C97" t="s">
        <v>22</v>
      </c>
      <c r="D97">
        <v>4.3</v>
      </c>
      <c r="E97" t="s">
        <v>27</v>
      </c>
      <c r="F97" s="2">
        <v>500</v>
      </c>
    </row>
    <row r="98" spans="1:6" x14ac:dyDescent="0.35">
      <c r="A98" t="s">
        <v>9</v>
      </c>
      <c r="B98" t="s">
        <v>16</v>
      </c>
      <c r="C98" t="s">
        <v>23</v>
      </c>
      <c r="D98">
        <v>3.3</v>
      </c>
      <c r="E98" t="s">
        <v>28</v>
      </c>
      <c r="F98" s="2">
        <v>750</v>
      </c>
    </row>
    <row r="99" spans="1:6" x14ac:dyDescent="0.35">
      <c r="A99" t="s">
        <v>9</v>
      </c>
      <c r="B99" t="s">
        <v>20</v>
      </c>
      <c r="C99" t="s">
        <v>25</v>
      </c>
      <c r="D99">
        <v>4.5</v>
      </c>
      <c r="E99" t="s">
        <v>27</v>
      </c>
      <c r="F99" s="2">
        <v>1200</v>
      </c>
    </row>
    <row r="100" spans="1:6" x14ac:dyDescent="0.35">
      <c r="A100" t="s">
        <v>6</v>
      </c>
      <c r="B100" t="s">
        <v>18</v>
      </c>
      <c r="C100" t="s">
        <v>23</v>
      </c>
      <c r="D100">
        <v>4.8</v>
      </c>
      <c r="E100" t="s">
        <v>28</v>
      </c>
      <c r="F100" s="2">
        <v>1200</v>
      </c>
    </row>
    <row r="101" spans="1:6" x14ac:dyDescent="0.35">
      <c r="A101" t="s">
        <v>10</v>
      </c>
      <c r="B101" t="s">
        <v>20</v>
      </c>
      <c r="C101" t="s">
        <v>23</v>
      </c>
      <c r="D101">
        <v>3.3</v>
      </c>
      <c r="E101" t="s">
        <v>28</v>
      </c>
      <c r="F101" s="2">
        <v>500</v>
      </c>
    </row>
    <row r="102" spans="1:6" x14ac:dyDescent="0.35">
      <c r="A102" t="s">
        <v>9</v>
      </c>
      <c r="B102" t="s">
        <v>18</v>
      </c>
      <c r="C102" t="s">
        <v>25</v>
      </c>
      <c r="D102">
        <v>4.9000000000000004</v>
      </c>
      <c r="E102" t="s">
        <v>28</v>
      </c>
      <c r="F102" s="2">
        <v>500</v>
      </c>
    </row>
    <row r="103" spans="1:6" x14ac:dyDescent="0.35">
      <c r="A103" t="s">
        <v>6</v>
      </c>
      <c r="B103" t="s">
        <v>19</v>
      </c>
      <c r="C103" t="s">
        <v>23</v>
      </c>
      <c r="D103">
        <v>3.5</v>
      </c>
      <c r="E103" t="s">
        <v>27</v>
      </c>
      <c r="F103" s="2">
        <v>150</v>
      </c>
    </row>
    <row r="104" spans="1:6" x14ac:dyDescent="0.35">
      <c r="A104" t="s">
        <v>11</v>
      </c>
      <c r="B104" t="s">
        <v>18</v>
      </c>
      <c r="C104" t="s">
        <v>25</v>
      </c>
      <c r="D104">
        <v>4.2</v>
      </c>
      <c r="E104" t="s">
        <v>28</v>
      </c>
      <c r="F104" s="2">
        <v>1200</v>
      </c>
    </row>
    <row r="105" spans="1:6" x14ac:dyDescent="0.35">
      <c r="A105" t="s">
        <v>9</v>
      </c>
      <c r="B105" t="s">
        <v>21</v>
      </c>
      <c r="C105" t="s">
        <v>23</v>
      </c>
      <c r="D105">
        <v>3.5</v>
      </c>
      <c r="E105" t="s">
        <v>28</v>
      </c>
      <c r="F105" s="2">
        <v>150</v>
      </c>
    </row>
    <row r="106" spans="1:6" x14ac:dyDescent="0.35">
      <c r="A106" t="s">
        <v>6</v>
      </c>
      <c r="B106" t="s">
        <v>16</v>
      </c>
      <c r="C106" t="s">
        <v>24</v>
      </c>
      <c r="D106">
        <v>3.3</v>
      </c>
      <c r="E106" t="s">
        <v>28</v>
      </c>
      <c r="F106" s="2">
        <v>150</v>
      </c>
    </row>
    <row r="107" spans="1:6" x14ac:dyDescent="0.35">
      <c r="A107" t="s">
        <v>10</v>
      </c>
      <c r="B107" t="s">
        <v>18</v>
      </c>
      <c r="C107" t="s">
        <v>25</v>
      </c>
      <c r="D107">
        <v>4.3</v>
      </c>
      <c r="E107" t="s">
        <v>27</v>
      </c>
      <c r="F107" s="2">
        <v>300</v>
      </c>
    </row>
    <row r="108" spans="1:6" x14ac:dyDescent="0.35">
      <c r="A108" t="s">
        <v>14</v>
      </c>
      <c r="B108" t="s">
        <v>20</v>
      </c>
      <c r="C108" t="s">
        <v>23</v>
      </c>
      <c r="D108">
        <v>3.8</v>
      </c>
      <c r="E108" t="s">
        <v>27</v>
      </c>
      <c r="F108" s="2">
        <v>300</v>
      </c>
    </row>
    <row r="109" spans="1:6" x14ac:dyDescent="0.35">
      <c r="A109" t="s">
        <v>14</v>
      </c>
      <c r="B109" t="s">
        <v>18</v>
      </c>
      <c r="C109" t="s">
        <v>24</v>
      </c>
      <c r="D109">
        <v>3</v>
      </c>
      <c r="E109" t="s">
        <v>27</v>
      </c>
      <c r="F109" s="2">
        <v>150</v>
      </c>
    </row>
    <row r="110" spans="1:6" x14ac:dyDescent="0.35">
      <c r="A110" t="s">
        <v>8</v>
      </c>
      <c r="B110" t="s">
        <v>18</v>
      </c>
      <c r="C110" t="s">
        <v>23</v>
      </c>
      <c r="D110">
        <v>4.9000000000000004</v>
      </c>
      <c r="E110" t="s">
        <v>28</v>
      </c>
      <c r="F110" s="2">
        <v>500</v>
      </c>
    </row>
    <row r="111" spans="1:6" x14ac:dyDescent="0.35">
      <c r="A111" t="s">
        <v>8</v>
      </c>
      <c r="B111" t="s">
        <v>17</v>
      </c>
      <c r="C111" t="s">
        <v>22</v>
      </c>
      <c r="D111">
        <v>3.5</v>
      </c>
      <c r="E111" t="s">
        <v>28</v>
      </c>
      <c r="F111" s="2">
        <v>750</v>
      </c>
    </row>
    <row r="112" spans="1:6" x14ac:dyDescent="0.35">
      <c r="A112" t="s">
        <v>9</v>
      </c>
      <c r="B112" t="s">
        <v>19</v>
      </c>
      <c r="C112" t="s">
        <v>22</v>
      </c>
      <c r="D112">
        <v>4.3</v>
      </c>
      <c r="E112" t="s">
        <v>28</v>
      </c>
      <c r="F112" s="2">
        <v>300</v>
      </c>
    </row>
    <row r="113" spans="1:6" x14ac:dyDescent="0.35">
      <c r="A113" t="s">
        <v>14</v>
      </c>
      <c r="B113" t="s">
        <v>18</v>
      </c>
      <c r="C113" t="s">
        <v>25</v>
      </c>
      <c r="D113">
        <v>3.2</v>
      </c>
      <c r="E113" t="s">
        <v>27</v>
      </c>
      <c r="F113" s="2">
        <v>750</v>
      </c>
    </row>
    <row r="114" spans="1:6" x14ac:dyDescent="0.35">
      <c r="A114" t="s">
        <v>14</v>
      </c>
      <c r="B114" t="s">
        <v>19</v>
      </c>
      <c r="C114" t="s">
        <v>26</v>
      </c>
      <c r="D114">
        <v>4.8</v>
      </c>
      <c r="E114" t="s">
        <v>28</v>
      </c>
      <c r="F114" s="2">
        <v>300</v>
      </c>
    </row>
    <row r="115" spans="1:6" x14ac:dyDescent="0.35">
      <c r="A115" t="s">
        <v>8</v>
      </c>
      <c r="B115" t="s">
        <v>18</v>
      </c>
      <c r="C115" t="s">
        <v>24</v>
      </c>
      <c r="D115">
        <v>3.4</v>
      </c>
      <c r="E115" t="s">
        <v>27</v>
      </c>
      <c r="F115" s="2">
        <v>500</v>
      </c>
    </row>
    <row r="116" spans="1:6" x14ac:dyDescent="0.35">
      <c r="A116" t="s">
        <v>11</v>
      </c>
      <c r="B116" t="s">
        <v>19</v>
      </c>
      <c r="C116" t="s">
        <v>23</v>
      </c>
      <c r="D116">
        <v>4</v>
      </c>
      <c r="E116" t="s">
        <v>28</v>
      </c>
      <c r="F116" s="2">
        <v>1200</v>
      </c>
    </row>
    <row r="117" spans="1:6" x14ac:dyDescent="0.35">
      <c r="A117" t="s">
        <v>13</v>
      </c>
      <c r="B117" t="s">
        <v>18</v>
      </c>
      <c r="C117" t="s">
        <v>26</v>
      </c>
      <c r="D117">
        <v>3.5</v>
      </c>
      <c r="E117" t="s">
        <v>27</v>
      </c>
      <c r="F117" s="2">
        <v>500</v>
      </c>
    </row>
    <row r="118" spans="1:6" x14ac:dyDescent="0.35">
      <c r="A118" t="s">
        <v>10</v>
      </c>
      <c r="B118" t="s">
        <v>21</v>
      </c>
      <c r="C118" t="s">
        <v>23</v>
      </c>
      <c r="D118">
        <v>3.8</v>
      </c>
      <c r="E118" t="s">
        <v>27</v>
      </c>
      <c r="F118" s="2">
        <v>500</v>
      </c>
    </row>
    <row r="119" spans="1:6" x14ac:dyDescent="0.35">
      <c r="A119" t="s">
        <v>14</v>
      </c>
      <c r="B119" t="s">
        <v>17</v>
      </c>
      <c r="C119" t="s">
        <v>26</v>
      </c>
      <c r="D119">
        <v>4.4000000000000004</v>
      </c>
      <c r="E119" t="s">
        <v>28</v>
      </c>
      <c r="F119" s="2">
        <v>1200</v>
      </c>
    </row>
    <row r="120" spans="1:6" x14ac:dyDescent="0.35">
      <c r="A120" t="s">
        <v>7</v>
      </c>
      <c r="B120" t="s">
        <v>16</v>
      </c>
      <c r="C120" t="s">
        <v>26</v>
      </c>
      <c r="D120">
        <v>4</v>
      </c>
      <c r="E120" t="s">
        <v>28</v>
      </c>
      <c r="F120" s="2">
        <v>750</v>
      </c>
    </row>
    <row r="121" spans="1:6" x14ac:dyDescent="0.35">
      <c r="A121" t="s">
        <v>14</v>
      </c>
      <c r="B121" t="s">
        <v>17</v>
      </c>
      <c r="C121" t="s">
        <v>25</v>
      </c>
      <c r="D121">
        <v>4</v>
      </c>
      <c r="E121" t="s">
        <v>28</v>
      </c>
      <c r="F121" s="2">
        <v>150</v>
      </c>
    </row>
    <row r="122" spans="1:6" x14ac:dyDescent="0.35">
      <c r="A122" t="s">
        <v>15</v>
      </c>
      <c r="B122" t="s">
        <v>20</v>
      </c>
      <c r="C122" t="s">
        <v>23</v>
      </c>
      <c r="D122">
        <v>3.9</v>
      </c>
      <c r="E122" t="s">
        <v>28</v>
      </c>
      <c r="F122" s="2">
        <v>1200</v>
      </c>
    </row>
    <row r="123" spans="1:6" x14ac:dyDescent="0.35">
      <c r="A123" t="s">
        <v>7</v>
      </c>
      <c r="B123" t="s">
        <v>21</v>
      </c>
      <c r="C123" t="s">
        <v>23</v>
      </c>
      <c r="D123">
        <v>4.7</v>
      </c>
      <c r="E123" t="s">
        <v>28</v>
      </c>
      <c r="F123" s="2">
        <v>1200</v>
      </c>
    </row>
    <row r="124" spans="1:6" x14ac:dyDescent="0.35">
      <c r="A124" t="s">
        <v>14</v>
      </c>
      <c r="B124" t="s">
        <v>18</v>
      </c>
      <c r="C124" t="s">
        <v>24</v>
      </c>
      <c r="D124">
        <v>3.5</v>
      </c>
      <c r="E124" t="s">
        <v>28</v>
      </c>
      <c r="F124" s="2">
        <v>300</v>
      </c>
    </row>
    <row r="125" spans="1:6" x14ac:dyDescent="0.35">
      <c r="A125" t="s">
        <v>11</v>
      </c>
      <c r="B125" t="s">
        <v>21</v>
      </c>
      <c r="C125" t="s">
        <v>22</v>
      </c>
      <c r="D125">
        <v>4.2</v>
      </c>
      <c r="E125" t="s">
        <v>27</v>
      </c>
      <c r="F125" s="2">
        <v>500</v>
      </c>
    </row>
    <row r="126" spans="1:6" x14ac:dyDescent="0.35">
      <c r="A126" t="s">
        <v>14</v>
      </c>
      <c r="B126" t="s">
        <v>17</v>
      </c>
      <c r="C126" t="s">
        <v>24</v>
      </c>
      <c r="D126">
        <v>4.7</v>
      </c>
      <c r="E126" t="s">
        <v>27</v>
      </c>
      <c r="F126" s="2">
        <v>500</v>
      </c>
    </row>
    <row r="127" spans="1:6" x14ac:dyDescent="0.35">
      <c r="A127" t="s">
        <v>8</v>
      </c>
      <c r="B127" t="s">
        <v>18</v>
      </c>
      <c r="C127" t="s">
        <v>24</v>
      </c>
      <c r="D127">
        <v>3.5</v>
      </c>
      <c r="E127" t="s">
        <v>27</v>
      </c>
      <c r="F127" s="2">
        <v>750</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 Kumar</dc:creator>
  <cp:lastModifiedBy>Mohan Kumar</cp:lastModifiedBy>
  <dcterms:created xsi:type="dcterms:W3CDTF">2026-06-20T11:49:38Z</dcterms:created>
  <dcterms:modified xsi:type="dcterms:W3CDTF">2026-06-20T13:28:31Z</dcterms:modified>
</cp:coreProperties>
</file>